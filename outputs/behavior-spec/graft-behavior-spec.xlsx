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144b43d88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582245f9597492f"/>
    <x:sheet xmlns:r="http://schemas.openxmlformats.org/officeDocument/2006/relationships" name="User Stories" sheetId="2" r:id="Rab78d256f9764375"/>
    <x:sheet xmlns:r="http://schemas.openxmlformats.org/officeDocument/2006/relationships" name="Defects" sheetId="3" r:id="R2255cdff8493434b"/>
    <x:sheet xmlns:r="http://schemas.openxmlformats.org/officeDocument/2006/relationships" name="Open Questions" sheetId="4" r:id="R59d3276c7747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7C2D12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</x:fills>
  <x:borders count="5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bc6170fd04bd2" /><Relationship Type="http://schemas.openxmlformats.org/officeDocument/2006/relationships/theme" Target="/xl/theme/theme1.xml" Id="R92148266b31143ca" /><Relationship Type="http://schemas.openxmlformats.org/officeDocument/2006/relationships/sharedStrings" Target="/xl/sharedStrings.xml" Id="R0994a6e3b70144cf" /><Relationship Type="http://schemas.openxmlformats.org/officeDocument/2006/relationships/worksheet" Target="/xl/worksheets/sheet1.xml" Id="R4582245f9597492f" /><Relationship Type="http://schemas.openxmlformats.org/officeDocument/2006/relationships/worksheet" Target="/xl/worksheets/sheet2.xml" Id="Rab78d256f9764375" /><Relationship Type="http://schemas.openxmlformats.org/officeDocument/2006/relationships/worksheet" Target="/xl/worksheets/sheet3.xml" Id="R2255cdff8493434b" /><Relationship Type="http://schemas.openxmlformats.org/officeDocument/2006/relationships/worksheet" Target="/xl/worksheets/sheet4.xml" Id="R59d3276c77474e48" /></Relationships>
</file>

<file path=xl/tables/table1.xml><?xml version="1.0" encoding="utf-8"?>
<x:table xmlns:x="http://schemas.openxmlformats.org/spreadsheetml/2006/main" id="1" name="BehaviorSpecTable" displayName="BehaviorSpecTable" ref="A1:N71" headerRowCount="1">
  <x:autoFilter ref="A1:N71"/>
  <x:tableColumns count="14">
    <x:tableColumn id="1" name="ID"/>
    <x:tableColumn id="2" name="Area"/>
    <x:tableColumn id="3" name="Surface"/>
    <x:tableColumn id="4" name="User story"/>
    <x:tableColumn id="5" name="Expected behavior (from code)"/>
    <x:tableColumn id="6" name="Status"/>
    <x:tableColumn id="7" name="Defects"/>
    <x:tableColumn id="8" name="Type"/>
    <x:tableColumn id="9" name="Test method"/>
    <x:tableColumn id="10" name="Actual result"/>
    <x:tableColumn id="11" name="Iteration"/>
    <x:tableColumn id="12" name="Open question"/>
    <x:tableColumn id="13" name="Notes / source"/>
    <x:tableColumn id="14" name="Last verified"/>
  </x:tableColumns>
  <x:tableStyleInfo name="TableStyleMedium2" showRowStripes="1"/>
</x:table>
</file>

<file path=xl/tables/table2.xml><?xml version="1.0" encoding="utf-8"?>
<x:table xmlns:x="http://schemas.openxmlformats.org/spreadsheetml/2006/main" id="2" name="DefectLogTable" displayName="DefectLogTable" ref="A1:J2" headerRowCount="1">
  <x:autoFilter ref="A1:J2"/>
  <x:tableColumns count="10">
    <x:tableColumn id="1" name="Defect ID"/>
    <x:tableColumn id="2" name="Feature ID"/>
    <x:tableColumn id="3" name="Iteration"/>
    <x:tableColumn id="4" name="Type"/>
    <x:tableColumn id="5" name="Severity"/>
    <x:tableColumn id="6" name="Status"/>
    <x:tableColumn id="7" name="Observed behavior"/>
    <x:tableColumn id="8" name="Root cause"/>
    <x:tableColumn id="9" name="Fix summary"/>
    <x:tableColumn id="10" name="Evidence"/>
  </x:tableColumns>
  <x:tableStyleInfo name="TableStyleMedium4" showRowStripes="1"/>
</x:table>
</file>

<file path=xl/tables/table3.xml><?xml version="1.0" encoding="utf-8"?>
<x:table xmlns:x="http://schemas.openxmlformats.org/spreadsheetml/2006/main" id="3" name="OpenQuestionsTable" displayName="OpenQuestionsTable" ref="A1:E57" headerRowCount="1">
  <x:autoFilter ref="A1:E57"/>
  <x:tableColumns count="5">
    <x:tableColumn id="1" name="Feature ID"/>
    <x:tableColumn id="2" name="Area"/>
    <x:tableColumn id="3" name="Surface"/>
    <x:tableColumn id="4" name="Open question"/>
    <x:tableColumn id="5" name="Source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46e1254ec4c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ec7f2419a14f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7cc52f70f144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2" t="str">
        <x:v>Graft Behavioral Spec</x:v>
      </x:c>
      <x:c r="B1" s="12"/>
      <x:c r="C1" s="12"/>
      <x:c r="D1" s="12"/>
      <x:c r="E1" s="12"/>
      <x:c r="F1" s="12"/>
      <x:c r="G1" s="12"/>
      <x:c r="H1" s="12"/>
    </x:row>
    <x:row r="3">
      <x:c r="A3" s="17" t="str">
        <x:v>Generated</x:v>
      </x:c>
      <x:c r="B3" s="18" t="str">
        <x:v>2026-06-25</x:v>
      </x:c>
      <x:c r="D3" s="23" t="str">
        <x:v>Area</x:v>
      </x:c>
      <x:c r="E3" s="23" t="str">
        <x:v>Stories</x:v>
      </x:c>
      <x:c r="F3" s="23" t="str">
        <x:v>Verified</x:v>
      </x:c>
    </x:row>
    <x:row r="4">
      <x:c r="A4" s="19" t="str">
        <x:v>Canonical feature sheet</x:v>
      </x:c>
      <x:c r="B4" s="20" t="str">
        <x:v>User Stories</x:v>
      </x:c>
      <x:c r="D4" s="24" t="str">
        <x:v>Accessibility</x:v>
      </x:c>
      <x:c r="E4" s="25" t="n">
        <x:f>COUNTIF('User Stories'!B:B,D4)</x:f>
        <x:v>1</x:v>
      </x:c>
      <x:c r="F4" s="25" t="n">
        <x:f>COUNTIFS('User Stories'!B:B,D4,'User Stories'!F:F,"Verified")</x:f>
        <x:v>1</x:v>
      </x:c>
    </x:row>
    <x:row r="5">
      <x:c r="A5" s="19" t="str">
        <x:v>Total user stories</x:v>
      </x:c>
      <x:c r="B5" s="20" t="n">
        <x:v>70</x:v>
      </x:c>
      <x:c r="D5" s="24" t="str">
        <x:v>Agent Contract</x:v>
      </x:c>
      <x:c r="E5" s="25" t="n">
        <x:f>COUNTIF('User Stories'!B:B,D5)</x:f>
        <x:v>1</x:v>
      </x:c>
      <x:c r="F5" s="25" t="n">
        <x:f>COUNTIFS('User Stories'!B:B,D5,'User Stories'!F:F,"Verified")</x:f>
        <x:v>1</x:v>
      </x:c>
    </x:row>
    <x:row r="6">
      <x:c r="A6" s="19" t="str">
        <x:v>Spec'd</x:v>
      </x:c>
      <x:c r="B6" s="20" t="n">
        <x:f>COUNTIF('User Stories'!F:F,"Spec'd")</x:f>
        <x:v>0</x:v>
      </x:c>
      <x:c r="D6" s="24" t="str">
        <x:v>Agent Workflow</x:v>
      </x:c>
      <x:c r="E6" s="25" t="n">
        <x:f>COUNTIF('User Stories'!B:B,D6)</x:f>
        <x:v>1</x:v>
      </x:c>
      <x:c r="F6" s="25" t="n">
        <x:f>COUNTIFS('User Stories'!B:B,D6,'User Stories'!F:F,"Verified")</x:f>
        <x:v>1</x:v>
      </x:c>
    </x:row>
    <x:row r="7">
      <x:c r="A7" s="19" t="str">
        <x:v>Tested-Pass</x:v>
      </x:c>
      <x:c r="B7" s="20" t="n">
        <x:f>COUNTIF('User Stories'!F:F,"Tested-Pass")</x:f>
        <x:v>0</x:v>
      </x:c>
      <x:c r="D7" s="24" t="str">
        <x:v>Agents</x:v>
      </x:c>
      <x:c r="E7" s="25" t="n">
        <x:f>COUNTIF('User Stories'!B:B,D7)</x:f>
        <x:v>1</x:v>
      </x:c>
      <x:c r="F7" s="25" t="n">
        <x:f>COUNTIFS('User Stories'!B:B,D7,'User Stories'!F:F,"Verified")</x:f>
        <x:v>1</x:v>
      </x:c>
    </x:row>
    <x:row r="8">
      <x:c r="A8" s="19" t="str">
        <x:v>Tested-Fail</x:v>
      </x:c>
      <x:c r="B8" s="20" t="n">
        <x:f>COUNTIF('User Stories'!F:F,"Tested-Fail")</x:f>
        <x:v>0</x:v>
      </x:c>
      <x:c r="D8" s="24" t="str">
        <x:v>App Shell</x:v>
      </x:c>
      <x:c r="E8" s="25" t="n">
        <x:f>COUNTIF('User Stories'!B:B,D8)</x:f>
        <x:v>1</x:v>
      </x:c>
      <x:c r="F8" s="25" t="n">
        <x:f>COUNTIFS('User Stories'!B:B,D8,'User Stories'!F:F,"Verified")</x:f>
        <x:v>1</x:v>
      </x:c>
    </x:row>
    <x:row r="9">
      <x:c r="A9" s="19" t="str">
        <x:v>Fixed</x:v>
      </x:c>
      <x:c r="B9" s="20" t="n">
        <x:f>COUNTIF('User Stories'!F:F,"Fixed")</x:f>
        <x:v>0</x:v>
      </x:c>
      <x:c r="D9" s="24" t="str">
        <x:v>Assets</x:v>
      </x:c>
      <x:c r="E9" s="25" t="n">
        <x:f>COUNTIF('User Stories'!B:B,D9)</x:f>
        <x:v>1</x:v>
      </x:c>
      <x:c r="F9" s="25" t="n">
        <x:f>COUNTIFS('User Stories'!B:B,D9,'User Stories'!F:F,"Verified")</x:f>
        <x:v>1</x:v>
      </x:c>
    </x:row>
    <x:row r="10">
      <x:c r="A10" s="19" t="str">
        <x:v>Verified</x:v>
      </x:c>
      <x:c r="B10" s="20" t="n">
        <x:f>COUNTIF('User Stories'!F:F,"Verified")</x:f>
        <x:v>70</x:v>
      </x:c>
      <x:c r="D10" s="24" t="str">
        <x:v>Build</x:v>
      </x:c>
      <x:c r="E10" s="25" t="n">
        <x:f>COUNTIF('User Stories'!B:B,D10)</x:f>
        <x:v>4</x:v>
      </x:c>
      <x:c r="F10" s="25" t="n">
        <x:f>COUNTIFS('User Stories'!B:B,D10,'User Stories'!F:F,"Verified")</x:f>
        <x:v>4</x:v>
      </x:c>
    </x:row>
    <x:row r="11">
      <x:c r="A11" s="19" t="str">
        <x:v>Open defects</x:v>
      </x:c>
      <x:c r="B11" s="20" t="n">
        <x:f>COUNTIFS(Defects!F2:F1000,"&lt;&gt;Verified",Defects!A2:A1000,"&lt;&gt;")</x:f>
        <x:v>0</x:v>
      </x:c>
      <x:c r="D11" s="24" t="str">
        <x:v>CLI</x:v>
      </x:c>
      <x:c r="E11" s="25" t="n">
        <x:f>COUNTIF('User Stories'!B:B,D11)</x:f>
        <x:v>5</x:v>
      </x:c>
      <x:c r="F11" s="25" t="n">
        <x:f>COUNTIFS('User Stories'!B:B,D11,'User Stories'!F:F,"Verified")</x:f>
        <x:v>5</x:v>
      </x:c>
    </x:row>
    <x:row r="12">
      <x:c r="A12" s="19" t="str">
        <x:v>Open questions</x:v>
      </x:c>
      <x:c r="B12" s="20" t="n">
        <x:v>56</x:v>
      </x:c>
      <x:c r="D12" s="24" t="str">
        <x:v>Commands</x:v>
      </x:c>
      <x:c r="E12" s="25" t="n">
        <x:f>COUNTIF('User Stories'!B:B,D12)</x:f>
        <x:v>1</x:v>
      </x:c>
      <x:c r="F12" s="25" t="n">
        <x:f>COUNTIFS('User Stories'!B:B,D12,'User Stories'!F:F,"Verified")</x:f>
        <x:v>1</x:v>
      </x:c>
    </x:row>
    <x:row r="13">
      <x:c r="A13" s="21" t="str">
        <x:v>Surfaces</x:v>
      </x:c>
      <x:c r="B13" s="22" t="str">
        <x:v>GraftCore, Swift package, graft-cli, landing page, macOS app, repo QA, repo-local skill, script</x:v>
      </x:c>
      <x:c r="D13" s="24" t="str">
        <x:v>Core Review</x:v>
      </x:c>
      <x:c r="E13" s="25" t="n">
        <x:f>COUNTIF('User Stories'!B:B,D13)</x:f>
        <x:v>3</x:v>
      </x:c>
      <x:c r="F13" s="25" t="n">
        <x:f>COUNTIFS('User Stories'!B:B,D13,'User Stories'!F:F,"Verified")</x:f>
        <x:v>3</x:v>
      </x:c>
    </x:row>
    <x:row r="14">
      <x:c r="D14" s="24" t="str">
        <x:v>Editing</x:v>
      </x:c>
      <x:c r="E14" s="25" t="n">
        <x:f>COUNTIF('User Stories'!B:B,D14)</x:f>
        <x:v>6</x:v>
      </x:c>
      <x:c r="F14" s="25" t="n">
        <x:f>COUNTIFS('User Stories'!B:B,D14,'User Stories'!F:F,"Verified")</x:f>
        <x:v>6</x:v>
      </x:c>
    </x:row>
    <x:row r="15">
      <x:c r="D15" s="24" t="str">
        <x:v>External Edits</x:v>
      </x:c>
      <x:c r="E15" s="25" t="n">
        <x:f>COUNTIF('User Stories'!B:B,D15)</x:f>
        <x:v>5</x:v>
      </x:c>
      <x:c r="F15" s="25" t="n">
        <x:f>COUNTIFS('User Stories'!B:B,D15,'User Stories'!F:F,"Verified")</x:f>
        <x:v>5</x:v>
      </x:c>
    </x:row>
    <x:row r="16">
      <x:c r="D16" s="24" t="str">
        <x:v>Files</x:v>
      </x:c>
      <x:c r="E16" s="25" t="n">
        <x:f>COUNTIF('User Stories'!B:B,D16)</x:f>
        <x:v>2</x:v>
      </x:c>
      <x:c r="F16" s="25" t="n">
        <x:f>COUNTIFS('User Stories'!B:B,D16,'User Stories'!F:F,"Verified")</x:f>
        <x:v>2</x:v>
      </x:c>
    </x:row>
    <x:row r="17">
      <x:c r="D17" s="24" t="str">
        <x:v>Footer</x:v>
      </x:c>
      <x:c r="E17" s="25" t="n">
        <x:f>COUNTIF('User Stories'!B:B,D17)</x:f>
        <x:v>1</x:v>
      </x:c>
      <x:c r="F17" s="25" t="n">
        <x:f>COUNTIFS('User Stories'!B:B,D17,'User Stories'!F:F,"Verified")</x:f>
        <x:v>1</x:v>
      </x:c>
    </x:row>
    <x:row r="18">
      <x:c r="D18" s="24" t="str">
        <x:v>Hero</x:v>
      </x:c>
      <x:c r="E18" s="25" t="n">
        <x:f>COUNTIF('User Stories'!B:B,D18)</x:f>
        <x:v>1</x:v>
      </x:c>
      <x:c r="F18" s="25" t="n">
        <x:f>COUNTIFS('User Stories'!B:B,D18,'User Stories'!F:F,"Verified")</x:f>
        <x:v>1</x:v>
      </x:c>
    </x:row>
    <x:row r="19">
      <x:c r="D19" s="24" t="str">
        <x:v>Hidden Collaboration</x:v>
      </x:c>
      <x:c r="E19" s="25" t="n">
        <x:f>COUNTIF('User Stories'!B:B,D19)</x:f>
        <x:v>1</x:v>
      </x:c>
      <x:c r="F19" s="25" t="n">
        <x:f>COUNTIFS('User Stories'!B:B,D19,'User Stories'!F:F,"Verified")</x:f>
        <x:v>1</x:v>
      </x:c>
    </x:row>
    <x:row r="20">
      <x:c r="D20" s="24" t="str">
        <x:v>Hidden External Edits</x:v>
      </x:c>
      <x:c r="E20" s="25" t="n">
        <x:f>COUNTIF('User Stories'!B:B,D20)</x:f>
        <x:v>1</x:v>
      </x:c>
      <x:c r="F20" s="25" t="n">
        <x:f>COUNTIFS('User Stories'!B:B,D20,'User Stories'!F:F,"Verified")</x:f>
        <x:v>1</x:v>
      </x:c>
    </x:row>
    <x:row r="21">
      <x:c r="D21" s="24" t="str">
        <x:v>History</x:v>
      </x:c>
      <x:c r="E21" s="25" t="n">
        <x:f>COUNTIF('User Stories'!B:B,D21)</x:f>
        <x:v>1</x:v>
      </x:c>
      <x:c r="F21" s="25" t="n">
        <x:f>COUNTIFS('User Stories'!B:B,D21,'User Stories'!F:F,"Verified")</x:f>
        <x:v>1</x:v>
      </x:c>
    </x:row>
    <x:row r="22">
      <x:c r="D22" s="24" t="str">
        <x:v>Images</x:v>
      </x:c>
      <x:c r="E22" s="25" t="n">
        <x:f>COUNTIF('User Stories'!B:B,D22)</x:f>
        <x:v>2</x:v>
      </x:c>
      <x:c r="F22" s="25" t="n">
        <x:f>COUNTIFS('User Stories'!B:B,D22,'User Stories'!F:F,"Verified")</x:f>
        <x:v>2</x:v>
      </x:c>
    </x:row>
    <x:row r="23">
      <x:c r="D23" s="24" t="str">
        <x:v>Motion</x:v>
      </x:c>
      <x:c r="E23" s="25" t="n">
        <x:f>COUNTIF('User Stories'!B:B,D23)</x:f>
        <x:v>1</x:v>
      </x:c>
      <x:c r="F23" s="25" t="n">
        <x:f>COUNTIFS('User Stories'!B:B,D23,'User Stories'!F:F,"Verified")</x:f>
        <x:v>1</x:v>
      </x:c>
    </x:row>
    <x:row r="24">
      <x:c r="D24" s="24" t="str">
        <x:v>Navigation</x:v>
      </x:c>
      <x:c r="E24" s="25" t="n">
        <x:f>COUNTIF('User Stories'!B:B,D24)</x:f>
        <x:v>2</x:v>
      </x:c>
      <x:c r="F24" s="25" t="n">
        <x:f>COUNTIFS('User Stories'!B:B,D24,'User Stories'!F:F,"Verified")</x:f>
        <x:v>2</x:v>
      </x:c>
    </x:row>
    <x:row r="25">
      <x:c r="D25" s="24" t="str">
        <x:v>Packaging</x:v>
      </x:c>
      <x:c r="E25" s="25" t="n">
        <x:f>COUNTIF('User Stories'!B:B,D25)</x:f>
        <x:v>1</x:v>
      </x:c>
      <x:c r="F25" s="25" t="n">
        <x:f>COUNTIFS('User Stories'!B:B,D25,'User Stories'!F:F,"Verified")</x:f>
        <x:v>1</x:v>
      </x:c>
    </x:row>
    <x:row r="26">
      <x:c r="D26" s="24" t="str">
        <x:v>Page Shell</x:v>
      </x:c>
      <x:c r="E26" s="25" t="n">
        <x:f>COUNTIF('User Stories'!B:B,D26)</x:f>
        <x:v>1</x:v>
      </x:c>
      <x:c r="F26" s="25" t="n">
        <x:f>COUNTIFS('User Stories'!B:B,D26,'User Stories'!F:F,"Verified")</x:f>
        <x:v>1</x:v>
      </x:c>
    </x:row>
    <x:row r="27">
      <x:c r="D27" s="24" t="str">
        <x:v>Persistence</x:v>
      </x:c>
      <x:c r="E27" s="25" t="n">
        <x:f>COUNTIF('User Stories'!B:B,D27)</x:f>
        <x:v>2</x:v>
      </x:c>
      <x:c r="F27" s="25" t="n">
        <x:f>COUNTIFS('User Stories'!B:B,D27,'User Stories'!F:F,"Verified")</x:f>
        <x:v>2</x:v>
      </x:c>
    </x:row>
    <x:row r="28">
      <x:c r="D28" s="24" t="str">
        <x:v>Plain Files</x:v>
      </x:c>
      <x:c r="E28" s="25" t="n">
        <x:f>COUNTIF('User Stories'!B:B,D28)</x:f>
        <x:v>1</x:v>
      </x:c>
      <x:c r="F28" s="25" t="n">
        <x:f>COUNTIFS('User Stories'!B:B,D28,'User Stories'!F:F,"Verified")</x:f>
        <x:v>1</x:v>
      </x:c>
    </x:row>
    <x:row r="29">
      <x:c r="D29" s="24" t="str">
        <x:v>Preview</x:v>
      </x:c>
      <x:c r="E29" s="25" t="n">
        <x:f>COUNTIF('User Stories'!B:B,D29)</x:f>
        <x:v>2</x:v>
      </x:c>
      <x:c r="F29" s="25" t="n">
        <x:f>COUNTIFS('User Stories'!B:B,D29,'User Stories'!F:F,"Verified")</x:f>
        <x:v>2</x:v>
      </x:c>
    </x:row>
    <x:row r="30">
      <x:c r="D30" s="24" t="str">
        <x:v>Problem</x:v>
      </x:c>
      <x:c r="E30" s="25" t="n">
        <x:f>COUNTIF('User Stories'!B:B,D30)</x:f>
        <x:v>1</x:v>
      </x:c>
      <x:c r="F30" s="25" t="n">
        <x:f>COUNTIFS('User Stories'!B:B,D30,'User Stories'!F:F,"Verified")</x:f>
        <x:v>1</x:v>
      </x:c>
    </x:row>
    <x:row r="31">
      <x:c r="D31" s="24" t="str">
        <x:v>QA</x:v>
      </x:c>
      <x:c r="E31" s="25" t="n">
        <x:f>COUNTIF('User Stories'!B:B,D31)</x:f>
        <x:v>2</x:v>
      </x:c>
      <x:c r="F31" s="25" t="n">
        <x:f>COUNTIFS('User Stories'!B:B,D31,'User Stories'!F:F,"Verified")</x:f>
        <x:v>2</x:v>
      </x:c>
    </x:row>
    <x:row r="32">
      <x:c r="D32" s="24" t="str">
        <x:v>Responsive</x:v>
      </x:c>
      <x:c r="E32" s="25" t="n">
        <x:f>COUNTIF('User Stories'!B:B,D32)</x:f>
        <x:v>1</x:v>
      </x:c>
      <x:c r="F32" s="25" t="n">
        <x:f>COUNTIFS('User Stories'!B:B,D32,'User Stories'!F:F,"Verified")</x:f>
        <x:v>1</x:v>
      </x:c>
    </x:row>
    <x:row r="33">
      <x:c r="D33" s="24" t="str">
        <x:v>Review</x:v>
      </x:c>
      <x:c r="E33" s="25" t="n">
        <x:f>COUNTIF('User Stories'!B:B,D33)</x:f>
        <x:v>8</x:v>
      </x:c>
      <x:c r="F33" s="25" t="n">
        <x:f>COUNTIFS('User Stories'!B:B,D33,'User Stories'!F:F,"Verified")</x:f>
        <x:v>8</x:v>
      </x:c>
    </x:row>
    <x:row r="34">
      <x:c r="D34" s="24" t="str">
        <x:v>Settings</x:v>
      </x:c>
      <x:c r="E34" s="25" t="n">
        <x:f>COUNTIF('User Stories'!B:B,D34)</x:f>
        <x:v>1</x:v>
      </x:c>
      <x:c r="F34" s="25" t="n">
        <x:f>COUNTIFS('User Stories'!B:B,D34,'User Stories'!F:F,"Verified")</x:f>
        <x:v>1</x:v>
      </x:c>
    </x:row>
    <x:row r="35">
      <x:c r="D35" s="24" t="str">
        <x:v>Share</x:v>
      </x:c>
      <x:c r="E35" s="25" t="n">
        <x:f>COUNTIF('User Stories'!B:B,D35)</x:f>
        <x:v>1</x:v>
      </x:c>
      <x:c r="F35" s="25" t="n">
        <x:f>COUNTIFS('User Stories'!B:B,D35,'User Stories'!F:F,"Verified")</x:f>
        <x:v>1</x:v>
      </x:c>
    </x:row>
    <x:row r="36">
      <x:c r="D36" s="24" t="str">
        <x:v>Status</x:v>
      </x:c>
      <x:c r="E36" s="25" t="n">
        <x:f>COUNTIF('User Stories'!B:B,D36)</x:f>
        <x:v>1</x:v>
      </x:c>
      <x:c r="F36" s="25" t="n">
        <x:f>COUNTIFS('User Stories'!B:B,D36,'User Stories'!F:F,"Verified")</x:f>
        <x:v>1</x:v>
      </x:c>
    </x:row>
    <x:row r="37">
      <x:c r="D37" s="24" t="str">
        <x:v>Waitlist</x:v>
      </x:c>
      <x:c r="E37" s="25" t="n">
        <x:f>COUNTIF('User Stories'!B:B,D37)</x:f>
        <x:v>2</x:v>
      </x:c>
      <x:c r="F37" s="25" t="n">
        <x:f>COUNTIFS('User Stories'!B:B,D37,'User Stories'!F:F,"Verified")</x:f>
        <x:v>2</x:v>
      </x:c>
    </x:row>
    <x:row r="38">
      <x:c r="D38" s="24" t="str">
        <x:v>Workflow</x:v>
      </x:c>
      <x:c r="E38" s="25" t="n">
        <x:f>COUNTIF('User Stories'!B:B,D38)</x:f>
        <x:v>1</x:v>
      </x:c>
      <x:c r="F38" s="25" t="n">
        <x:f>COUNTIFS('User Stories'!B:B,D38,'User Stories'!F:F,"Verified")</x:f>
        <x:v>1</x:v>
      </x:c>
    </x:row>
    <x:row r="39">
      <x:c r="D39" s="24" t="str">
        <x:v>Workspace</x:v>
      </x:c>
      <x:c r="E39" s="25" t="n">
        <x:f>COUNTIF('User Stories'!B:B,D39)</x:f>
        <x:v>3</x:v>
      </x:c>
      <x:c r="F39" s="25" t="n">
        <x:f>COUNTIFS('User Stories'!B:B,D39,'User Stories'!F:F,"Verified")</x:f>
        <x:v>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46" hidden="0" customWidth="1"/>
    <x:col min="5" max="5" width="68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  <x:col min="11" max="11" width="10" hidden="0" customWidth="1"/>
    <x:col min="12" max="12" width="42" hidden="0" customWidth="1"/>
    <x:col min="13" max="13" width="48" hidden="0" customWidth="1"/>
    <x:col min="14" max="14" width="18" hidden="0" customWidth="1"/>
  </x:cols>
  <x:sheetData>
    <x:row r="1" ht="30" customHeight="1">
      <x:c r="A1" s="3" t="str">
        <x:v>ID</x:v>
      </x:c>
      <x:c r="B1" s="3" t="str">
        <x:v>Area</x:v>
      </x:c>
      <x:c r="C1" s="3" t="str">
        <x:v>Surface</x:v>
      </x:c>
      <x:c r="D1" s="3" t="str">
        <x:v>User story</x:v>
      </x:c>
      <x:c r="E1" s="3" t="str">
        <x:v>Expected behavior (from code)</x:v>
      </x:c>
      <x:c r="F1" s="3" t="str">
        <x:v>Status</x:v>
      </x:c>
      <x:c r="G1" s="3" t="str">
        <x:v>Defects</x:v>
      </x:c>
      <x:c r="H1" s="3" t="str">
        <x:v>Type</x:v>
      </x:c>
      <x:c r="I1" s="3" t="str">
        <x:v>Test method</x:v>
      </x:c>
      <x:c r="J1" s="3" t="str">
        <x:v>Actual result</x:v>
      </x:c>
      <x:c r="K1" s="3" t="str">
        <x:v>Iteration</x:v>
      </x:c>
      <x:c r="L1" s="3" t="str">
        <x:v>Open question</x:v>
      </x:c>
      <x:c r="M1" s="3" t="str">
        <x:v>Notes / source</x:v>
      </x:c>
      <x:c r="N1" s="3" t="str">
        <x:v>Last verified</x:v>
      </x:c>
    </x:row>
    <x:row r="2" ht="78" customHeight="1">
      <x:c r="A2" t="str">
        <x:v>APP-001</x:v>
      </x:c>
      <x:c r="B2" t="str">
        <x:v>App Shell</x:v>
      </x:c>
      <x:c r="C2" t="str">
        <x:v>macOS app</x:v>
      </x:c>
      <x:c r="D2" t="str">
        <x:v>As a Mac user I want Graft to launch into a usable app window so I can begin working with local Markdown.</x:v>
      </x:c>
      <x:c r="E2" t="str">
        <x:v>The app activates as a regular macOS app, recenters visible off-screen windows after launch/activation, opens a `Graft` window with minimum size `1120x720`, injects `WorkspaceStore`, and exposes Settings.</x:v>
      </x:c>
      <x:c r="F2" t="str">
        <x:v>Verified</x:v>
      </x:c>
      <x:c r="G2" t="str">
        <x:v>-</x:v>
      </x:c>
      <x:c r="H2" t="str">
        <x:v>-</x:v>
      </x:c>
      <x:c r="I2" t="str">
        <x:v>Run script launch smoke; inspect process/window behavior where automation allows.</x:v>
      </x:c>
      <x:c r="J2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" s="4" t="n">
        <x:v>1</x:v>
      </x:c>
      <x:c r="L2" t="str">
        <x:v>Window recentering is delayed and only applies to visible windows; settings are in-memory only.</x:v>
      </x:c>
      <x:c r="M2" t="str">
        <x:v>Sources/Graft/App/GraftApp.swift AppDelegate, GraftApp.body</x:v>
      </x:c>
      <x:c r="N2" t="str">
        <x:v>2026-06-25</x:v>
      </x:c>
    </x:row>
    <x:row r="3" ht="78" customHeight="1">
      <x:c r="A3" t="str">
        <x:v>APP-002</x:v>
      </x:c>
      <x:c r="B3" t="str">
        <x:v>Workspace</x:v>
      </x:c>
      <x:c r="C3" t="str">
        <x:v>macOS app</x:v>
      </x:c>
      <x:c r="D3" t="str">
        <x:v>As a first-time user I want an empty start screen with a clear open-workspace action so I am not forced into a sample folder.</x:v>
      </x:c>
      <x:c r="E3" t="str">
        <x:v>When no workspace is selected, `EditorContainerView` renders `EmptyWorkspaceView` with Graft branding, explanatory copy, and an `Open Workspace` button that calls `WorkspaceStore.openWorkspacePanel()`.</x:v>
      </x:c>
      <x:c r="F3" t="str">
        <x:v>Verified</x:v>
      </x:c>
      <x:c r="G3" t="str">
        <x:v>-</x:v>
      </x:c>
      <x:c r="H3" t="str">
        <x:v>-</x:v>
      </x:c>
      <x:c r="I3" t="str">
        <x:v>Launch without `GRAFT_OPEN_SAMPLE_ON_LAUNCH`; visual/app smoke check.</x:v>
      </x:c>
      <x:c r="J3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" s="4" t="n">
        <x:v>1</x:v>
      </x:c>
      <x:c r="L3" t="str"/>
      <x:c r="M3" t="str">
        <x:v>Sources/Graft/Views/EditorContainerView.swift EditorContainerView.body, EmptyWorkspaceView; Sources/Graft/Stores/WorkspaceStore.swift openWorkspacePanel</x:v>
      </x:c>
      <x:c r="N3" t="str">
        <x:v>2026-06-25</x:v>
      </x:c>
    </x:row>
    <x:row r="4" ht="78" customHeight="1">
      <x:c r="A4" t="str">
        <x:v>APP-003</x:v>
      </x:c>
      <x:c r="B4" t="str">
        <x:v>Workspace</x:v>
      </x:c>
      <x:c r="C4" t="str">
        <x:v>macOS app</x:v>
      </x:c>
      <x:c r="D4" t="str">
        <x:v>As a preview tester I want the SampleVault to be opt-in so the app does not trigger a Desktop privacy prompt by default.</x:v>
      </x:c>
      <x:c r="E4" t="str">
        <x:v>In DEBUG builds, `WorkspaceStore.bootstrap()` opens the bundled `SampleVault` only when `GRAFT_OPEN_SAMPLE_ON_LAUNCH=1`; otherwise it returns without opening a workspace.</x:v>
      </x:c>
      <x:c r="F4" t="str">
        <x:v>Verified</x:v>
      </x:c>
      <x:c r="G4" t="str">
        <x:v>-</x:v>
      </x:c>
      <x:c r="H4" t="str">
        <x:v>-</x:v>
      </x:c>
      <x:c r="I4" t="str">
        <x:v>Launch twice with env var off/on; assert empty state versus SampleVault content.</x:v>
      </x:c>
      <x:c r="J4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4" s="4" t="n">
        <x:v>1</x:v>
      </x:c>
      <x:c r="L4" t="str">
        <x:v>Sample `.graft/changes` metadata does not become a pending review unless a file change is converted into a review.</x:v>
      </x:c>
      <x:c r="M4" t="str">
        <x:v>Sources/Graft/Stores/WorkspaceStore.swift bootstrap; SampleVault/welcome.md</x:v>
      </x:c>
      <x:c r="N4" t="str">
        <x:v>2026-06-25</x:v>
      </x:c>
    </x:row>
    <x:row r="5" ht="78" customHeight="1">
      <x:c r="A5" t="str">
        <x:v>APP-004</x:v>
      </x:c>
      <x:c r="B5" t="str">
        <x:v>Workspace</x:v>
      </x:c>
      <x:c r="C5" t="str">
        <x:v>macOS app</x:v>
      </x:c>
      <x:c r="D5" t="str">
        <x:v>As a writer I want to open a folder workspace so Graft can work with my Markdown files on disk.</x:v>
      </x:c>
      <x:c r="E5" t="str">
        <x:v>`openWorkspacePanel()` presents an `NSOpenPanel` configured for one directory; `openWorkspace(_:)` stores the root URL, prepares `.graft/history` and `.graft/shares`, writes `AGENTS.md` if missing, loads invites/reviews, reloads files, selects the first file, and starts the watcher.</x:v>
      </x:c>
      <x:c r="F5" t="str">
        <x:v>Verified</x:v>
      </x:c>
      <x:c r="G5" t="str">
        <x:v>-</x:v>
      </x:c>
      <x:c r="H5" t="str">
        <x:v>-</x:v>
      </x:c>
      <x:c r="I5" t="str">
        <x:v>Temp workspace integration via app or store-level harness; inspect sidecar, AGENTS.md, file list, selected file.</x:v>
      </x:c>
      <x:c r="J5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5" s="4" t="n">
        <x:v>1</x:v>
      </x:c>
      <x:c r="L5" t="str">
        <x:v>Agent-instructions write failures are ignored.</x:v>
      </x:c>
      <x:c r="M5" t="str">
        <x:v>Sources/Graft/Stores/WorkspaceStore.swift openWorkspacePanel, openWorkspace; Sources/Graft/Services/VersionHistoryStore.swift prepare; Sources/GraftCore/Review/AgentInstructionsWriter.swift writeIfMissing</x:v>
      </x:c>
      <x:c r="N5" t="str">
        <x:v>2026-06-25</x:v>
      </x:c>
    </x:row>
    <x:row r="6" ht="78" customHeight="1">
      <x:c r="A6" t="str">
        <x:v>APP-005</x:v>
      </x:c>
      <x:c r="B6" t="str">
        <x:v>Files</x:v>
      </x:c>
      <x:c r="C6" t="str">
        <x:v>macOS app</x:v>
      </x:c>
      <x:c r="D6" t="str">
        <x:v>As a writer I want the sidebar to list Markdown documents in my workspace so I can choose a file to edit.</x:v>
      </x:c>
      <x:c r="E6" t="str">
        <x:v>`reloadFileList()` recursively enumerates the workspace, skips hidden entries, includes `.md` files, excludes paths under `/.graft/` and `AGENTS.md`, maps each URL to `MarkdownFile`, sorts by localized relative path, initializes baselines, and updates the watcher.</x:v>
      </x:c>
      <x:c r="F6" t="str">
        <x:v>Verified</x:v>
      </x:c>
      <x:c r="G6" t="str">
        <x:v>-</x:v>
      </x:c>
      <x:c r="H6" t="str">
        <x:v>-</x:v>
      </x:c>
      <x:c r="I6" t="str">
        <x:v>Temp workspace filesystem check with nested files, hidden files, `.graft`, and `AGENTS.md`.</x:v>
      </x:c>
      <x:c r="J6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6" s="4" t="n">
        <x:v>1</x:v>
      </x:c>
      <x:c r="L6" t="str"/>
      <x:c r="M6" t="str">
        <x:v>Sources/Graft/Stores/WorkspaceStore.swift reloadFileList; Sources/Graft/Models/MarkdownFile.swift MarkdownFile.init</x:v>
      </x:c>
      <x:c r="N6" t="str">
        <x:v>2026-06-25</x:v>
      </x:c>
    </x:row>
    <x:row r="7" ht="78" customHeight="1">
      <x:c r="A7" t="str">
        <x:v>APP-006</x:v>
      </x:c>
      <x:c r="B7" t="str">
        <x:v>Files</x:v>
      </x:c>
      <x:c r="C7" t="str">
        <x:v>macOS app</x:v>
      </x:c>
      <x:c r="D7" t="str">
        <x:v>As a writer I want selecting a file to load its current Markdown and related review/history context.</x:v>
      </x:c>
      <x:c r="E7" t="str">
        <x:v>`load(file:)` saves the current dirty document first, sets the selected file, reads UTF-8 content or empty string on failure, updates `editorText`, `lastLoadedText`, and file baseline, clears the external-change banner, selects the first pending review for that relative path, and refreshes snapshots.</x:v>
      </x:c>
      <x:c r="F7" t="str">
        <x:v>Verified</x:v>
      </x:c>
      <x:c r="G7" t="str">
        <x:v>-</x:v>
      </x:c>
      <x:c r="H7" t="str">
        <x:v>-</x:v>
      </x:c>
      <x:c r="I7" t="str">
        <x:v>Temp workspace app/store flow; switch away from dirty file and inspect saved content plus selected review.</x:v>
      </x:c>
      <x:c r="J7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7" s="4" t="n">
        <x:v>1</x:v>
      </x:c>
      <x:c r="L7" t="str">
        <x:v>Dirty file switching saves automatically without prompting.</x:v>
      </x:c>
      <x:c r="M7" t="str">
        <x:v>Sources/Graft/Stores/WorkspaceStore.swift load(file:)</x:v>
      </x:c>
      <x:c r="N7" t="str">
        <x:v>2026-06-25</x:v>
      </x:c>
    </x:row>
    <x:row r="8" ht="78" customHeight="1">
      <x:c r="A8" t="str">
        <x:v>APP-007</x:v>
      </x:c>
      <x:c r="B8" t="str">
        <x:v>Editing</x:v>
      </x:c>
      <x:c r="C8" t="str">
        <x:v>macOS app</x:v>
      </x:c>
      <x:c r="D8" t="str">
        <x:v>As a writer I want Save to write Markdown back to the original file while preserving a checkpoint.</x:v>
      </x:c>
      <x:c r="E8" t="str">
        <x:v>`saveCurrentDocument()` snapshots the selected file with reason `Before save`, writes `editorText` as UTF-8, updates clean baseline, marks watcher clean, reloads file list, refreshes history, and shows an error banner on write failure.</x:v>
      </x:c>
      <x:c r="F8" t="str">
        <x:v>Verified</x:v>
      </x:c>
      <x:c r="G8" t="str">
        <x:v>-</x:v>
      </x:c>
      <x:c r="H8" t="str">
        <x:v>-</x:v>
      </x:c>
      <x:c r="I8" t="str">
        <x:v>Filesystem integration: edit, save, inspect file and `.graft/history` front matter.</x:v>
      </x:c>
      <x:c r="J8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8" s="4" t="n">
        <x:v>1</x:v>
      </x:c>
      <x:c r="L8" t="str">
        <x:v>Save snapshots even when content is unchanged.</x:v>
      </x:c>
      <x:c r="M8" t="str">
        <x:v>Sources/Graft/Stores/WorkspaceStore.swift saveCurrentDocument</x:v>
      </x:c>
      <x:c r="N8" t="str">
        <x:v>2026-06-25</x:v>
      </x:c>
    </x:row>
    <x:row r="9" ht="78" customHeight="1">
      <x:c r="A9" t="str">
        <x:v>APP-008</x:v>
      </x:c>
      <x:c r="B9" t="str">
        <x:v>Editing</x:v>
      </x:c>
      <x:c r="C9" t="str">
        <x:v>macOS app</x:v>
      </x:c>
      <x:c r="D9" t="str">
        <x:v>As a writer I want optional autosave so each edit can be persisted without manual Save.</x:v>
      </x:c>
      <x:c r="E9" t="str">
        <x:v>`MarkdownEditorView` writes text changes through `WorkspaceStore.autosaveCurrentDocumentIfNeeded()`; autosave writes UTF-8 only when enabled, selected file exists, and text differs from `lastLoadedText`; it updates baseline, marks watcher clean, reloads files, and shows an error banner on failure.</x:v>
      </x:c>
      <x:c r="F9" t="str">
        <x:v>Verified</x:v>
      </x:c>
      <x:c r="G9" t="str">
        <x:v>-</x:v>
      </x:c>
      <x:c r="H9" t="str">
        <x:v>-</x:v>
      </x:c>
      <x:c r="I9" t="str">
        <x:v>Toggle autosave in Settings; type into a temp file; inspect disk and dirty state.</x:v>
      </x:c>
      <x:c r="J9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9" s="4" t="n">
        <x:v>1</x:v>
      </x:c>
      <x:c r="L9" t="str">
        <x:v>Autosave intentionally does not create a checkpoint.</x:v>
      </x:c>
      <x:c r="M9" t="str">
        <x:v>Sources/Graft/Views/MarkdownEditorView.swift text binding; Sources/Graft/Stores/WorkspaceStore.swift autosaveCurrentDocumentIfNeeded</x:v>
      </x:c>
      <x:c r="N9" t="str">
        <x:v>2026-06-25</x:v>
      </x:c>
    </x:row>
    <x:row r="10" ht="78" customHeight="1">
      <x:c r="A10" t="str">
        <x:v>APP-009</x:v>
      </x:c>
      <x:c r="B10" t="str">
        <x:v>Editing</x:v>
      </x:c>
      <x:c r="C10" t="str">
        <x:v>macOS app</x:v>
      </x:c>
      <x:c r="D10" t="str">
        <x:v>As a writer I want Edit, Split, and Preview modes so I can switch between source and rendered reading.</x:v>
      </x:c>
      <x:c r="E10" t="str">
        <x:v>`EditorMode` has `Edit`, `Split`, and `Preview`; the toolbar/menu segmented picker calls `setEditorMode`; `EditorContainerView` renders editor-only, preview-only, or `HSplitView` with both panes.</x:v>
      </x:c>
      <x:c r="F10" t="str">
        <x:v>Verified</x:v>
      </x:c>
      <x:c r="G10" t="str">
        <x:v>-</x:v>
      </x:c>
      <x:c r="H10" t="str">
        <x:v>-</x:v>
      </x:c>
      <x:c r="I10" t="str">
        <x:v>UI state test or manual app flow through toolbar/menu mode changes.</x:v>
      </x:c>
      <x:c r="J10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0" s="4" t="n">
        <x:v>1</x:v>
      </x:c>
      <x:c r="L10" t="str">
        <x:v>Mode is not persisted across launches.</x:v>
      </x:c>
      <x:c r="M10" t="str">
        <x:v>Sources/Graft/Models/EditorMode.swift EditorMode; Sources/Graft/Stores/WorkspaceStore.swift setEditorMode; Sources/Graft/Views/EditorContainerView.swift body</x:v>
      </x:c>
      <x:c r="N10" t="str">
        <x:v>2026-06-25</x:v>
      </x:c>
    </x:row>
    <x:row r="11" ht="78" customHeight="1">
      <x:c r="A11" t="str">
        <x:v>APP-010</x:v>
      </x:c>
      <x:c r="B11" t="str">
        <x:v>Editing</x:v>
      </x:c>
      <x:c r="C11" t="str">
        <x:v>macOS app</x:v>
      </x:c>
      <x:c r="D11" t="str">
        <x:v>As a writer I want the inspector to open without crushing the split editor layout.</x:v>
      </x:c>
      <x:c r="E11" t="str">
        <x:v>`toggleInspector()` changes Split to Preview before showing the inspector; `setEditorMode(.split)` also coerces to Preview while the inspector is visible.</x:v>
      </x:c>
      <x:c r="F11" t="str">
        <x:v>Verified</x:v>
      </x:c>
      <x:c r="G11" t="str">
        <x:v>-</x:v>
      </x:c>
      <x:c r="H11" t="str">
        <x:v>-</x:v>
      </x:c>
      <x:c r="I11" t="str">
        <x:v>UI state test: enter Split, show inspector, request Split while visible.</x:v>
      </x:c>
      <x:c r="J11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1" s="4" t="n">
        <x:v>1</x:v>
      </x:c>
      <x:c r="L11" t="str">
        <x:v>The coercion is silent.</x:v>
      </x:c>
      <x:c r="M11" t="str">
        <x:v>Sources/Graft/Stores/WorkspaceStore.swift toggleInspector, setEditorMode</x:v>
      </x:c>
      <x:c r="N11" t="str">
        <x:v>2026-06-25</x:v>
      </x:c>
    </x:row>
    <x:row r="12" ht="78" customHeight="1">
      <x:c r="A12" t="str">
        <x:v>APP-011</x:v>
      </x:c>
      <x:c r="B12" t="str">
        <x:v>Editing</x:v>
      </x:c>
      <x:c r="C12" t="str">
        <x:v>macOS app</x:v>
      </x:c>
      <x:c r="D12" t="str">
        <x:v>As a writer I want a plain Markdown text editor that does not rewrite my text with rich text substitutions.</x:v>
      </x:c>
      <x:c r="E12" t="str">
        <x:v>`MarkdownTextView` wraps `NSTextView`, sets `isRichText=false`, disables graphics import, grammar checking, automatic quote substitution, dash substitution, text replacement, and spelling correction, keeps undo enabled, tracks selection, clamps ranges, and reapplies syntax highlighting with the configured font.</x:v>
      </x:c>
      <x:c r="F12" t="str">
        <x:v>Verified</x:v>
      </x:c>
      <x:c r="G12" t="str">
        <x:v>-</x:v>
      </x:c>
      <x:c r="H12" t="str">
        <x:v>-</x:v>
      </x:c>
      <x:c r="I12" t="str">
        <x:v>Manual or UI automation: type quotes/dashes/markdown, undo, select text, change font size.</x:v>
      </x:c>
      <x:c r="J12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2" s="4" t="n">
        <x:v>1</x:v>
      </x:c>
      <x:c r="L12" t="str"/>
      <x:c r="M12" t="str">
        <x:v>Sources/Graft/Views/MarkdownTextView.swift makeNSView, Coordinator.textDidChange</x:v>
      </x:c>
      <x:c r="N12" t="str">
        <x:v>2026-06-25</x:v>
      </x:c>
    </x:row>
    <x:row r="13" ht="78" customHeight="1">
      <x:c r="A13" t="str">
        <x:v>APP-012</x:v>
      </x:c>
      <x:c r="B13" t="str">
        <x:v>Editing</x:v>
      </x:c>
      <x:c r="C13" t="str">
        <x:v>macOS app</x:v>
      </x:c>
      <x:c r="D13" t="str">
        <x:v>As a writer I want Markdown syntax highlighting so source text remains scannable.</x:v>
      </x:c>
      <x:c r="E13" t="str">
        <x:v>`MarkdownSyntaxHighlighter` styles headings, quotes, list markers, task markers, images, links, inline code, and fenced code using regex-based attributes and the current editor font.</x:v>
      </x:c>
      <x:c r="F13" t="str">
        <x:v>Verified</x:v>
      </x:c>
      <x:c r="G13" t="str">
        <x:v>-</x:v>
      </x:c>
      <x:c r="H13" t="str">
        <x:v>-</x:v>
      </x:c>
      <x:c r="I13" t="str">
        <x:v>Visual editor screenshot with a Markdown fixture; inspect attributed text in a focused harness if possible.</x:v>
      </x:c>
      <x:c r="J13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3" s="4" t="n">
        <x:v>1</x:v>
      </x:c>
      <x:c r="L13" t="str">
        <x:v>Highlighting is regex-based and not a Markdown AST.</x:v>
      </x:c>
      <x:c r="M13" t="str">
        <x:v>Sources/Graft/Services/MarkdownSyntaxHighlighter.swift attributedString</x:v>
      </x:c>
      <x:c r="N13" t="str">
        <x:v>2026-06-25</x:v>
      </x:c>
    </x:row>
    <x:row r="14" ht="78" customHeight="1">
      <x:c r="A14" t="str">
        <x:v>APP-013</x:v>
      </x:c>
      <x:c r="B14" t="str">
        <x:v>Status</x:v>
      </x:c>
      <x:c r="C14" t="str">
        <x:v>macOS app</x:v>
      </x:c>
      <x:c r="D14" t="str">
        <x:v>As a writer I want a status strip that tells me save state, word count, workspace, and review activity.</x:v>
      </x:c>
      <x:c r="E14" t="str">
        <x:v>`StatusStrip` shows `Unsaved` or `Saved`, a whitespace-split word count, current workspace name or `No workspace`, the latest agent activity status when present, otherwise pending review count, plus `.graft local-first`.</x:v>
      </x:c>
      <x:c r="F14" t="str">
        <x:v>Verified</x:v>
      </x:c>
      <x:c r="G14" t="str">
        <x:v>-</x:v>
      </x:c>
      <x:c r="H14" t="str">
        <x:v>-</x:v>
      </x:c>
      <x:c r="I14" t="str">
        <x:v>Manual/UI check while editing, switching workspace, and triggering agent activity.</x:v>
      </x:c>
      <x:c r="J14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4" s="4" t="n">
        <x:v>1</x:v>
      </x:c>
      <x:c r="L14" t="str">
        <x:v>Word count is a simple whitespace split.</x:v>
      </x:c>
      <x:c r="M14" t="str">
        <x:v>Sources/Graft/Views/ContentView.swift StatusStrip</x:v>
      </x:c>
      <x:c r="N14" t="str">
        <x:v>2026-06-25</x:v>
      </x:c>
    </x:row>
    <x:row r="15" ht="78" customHeight="1">
      <x:c r="A15" t="str">
        <x:v>APP-014</x:v>
      </x:c>
      <x:c r="B15" t="str">
        <x:v>Preview</x:v>
      </x:c>
      <x:c r="C15" t="str">
        <x:v>macOS app</x:v>
      </x:c>
      <x:c r="D15" t="str">
        <x:v>As a reader I want common Markdown blocks rendered so I can review a document visually.</x:v>
      </x:c>
      <x:c r="E15" t="str">
        <x:v>`MarkdownRenderer.blocks(from:)` parses headings, paragraphs, quotes, unordered and ordered list items, task items, fenced code with optional language, pipe tables, images, and horizontal rules; `MarkdownPreviewView.blockView` renders each block type.</x:v>
      </x:c>
      <x:c r="F15" t="str">
        <x:v>Verified</x:v>
      </x:c>
      <x:c r="G15" t="str">
        <x:v>-</x:v>
      </x:c>
      <x:c r="H15" t="str">
        <x:v>-</x:v>
      </x:c>
      <x:c r="I15" t="str">
        <x:v>Renderer fixture tests plus preview screenshot for SampleVault.</x:v>
      </x:c>
      <x:c r="J15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5" s="4" t="n">
        <x:v>1</x:v>
      </x:c>
      <x:c r="L15" t="str">
        <x:v>Parser is intentionally limited and does not cover all CommonMark edge cases.</x:v>
      </x:c>
      <x:c r="M15" t="str">
        <x:v>Sources/Graft/Services/MarkdownRenderer.swift blocks(from:); Sources/Graft/Views/MarkdownPreviewView.swift blockView</x:v>
      </x:c>
      <x:c r="N15" t="str">
        <x:v>2026-06-25</x:v>
      </x:c>
    </x:row>
    <x:row r="16" ht="78" customHeight="1">
      <x:c r="A16" t="str">
        <x:v>APP-015</x:v>
      </x:c>
      <x:c r="B16" t="str">
        <x:v>Preview</x:v>
      </x:c>
      <x:c r="C16" t="str">
        <x:v>macOS app</x:v>
      </x:c>
      <x:c r="D16" t="str">
        <x:v>As a reader I want inline links and code to remain readable in preview.</x:v>
      </x:c>
      <x:c r="E16" t="str">
        <x:v>`MarkdownInlineText` uses `AttributedString(markdown:)`, styles links with teal/underline, styles inline code with teal, mint background, and monospace font, and falls back to plain `Text` if attributed parsing fails.</x:v>
      </x:c>
      <x:c r="F16" t="str">
        <x:v>Verified</x:v>
      </x:c>
      <x:c r="G16" t="str">
        <x:v>-</x:v>
      </x:c>
      <x:c r="H16" t="str">
        <x:v>-</x:v>
      </x:c>
      <x:c r="I16" t="str">
        <x:v>Preview fixture containing links, emphasis, and inline code.</x:v>
      </x:c>
      <x:c r="J16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6" s="4" t="n">
        <x:v>1</x:v>
      </x:c>
      <x:c r="L16" t="str"/>
      <x:c r="M16" t="str">
        <x:v>Sources/Graft/Views/MarkdownPreviewView.swift MarkdownInlineText</x:v>
      </x:c>
      <x:c r="N16" t="str">
        <x:v>2026-06-25</x:v>
      </x:c>
    </x:row>
    <x:row r="17" ht="78" customHeight="1">
      <x:c r="A17" t="str">
        <x:v>APP-016</x:v>
      </x:c>
      <x:c r="B17" t="str">
        <x:v>Images</x:v>
      </x:c>
      <x:c r="C17" t="str">
        <x:v>macOS app</x:v>
      </x:c>
      <x:c r="D17" t="str">
        <x:v>As a reader I want local Markdown images to resolve relative to the selected file.</x:v>
      </x:c>
      <x:c r="E17" t="str">
        <x:v>`MarkdownPreviewView.image(for:)` resolves the image path relative to the selected file directory. Existing images render scaled to max height 420 with alt/path metadata; missing images render a card with alt or `Missing image` and selectable path.</x:v>
      </x:c>
      <x:c r="F17" t="str">
        <x:v>Verified</x:v>
      </x:c>
      <x:c r="G17" t="str">
        <x:v>-</x:v>
      </x:c>
      <x:c r="H17" t="str">
        <x:v>-</x:v>
      </x:c>
      <x:c r="I17" t="str">
        <x:v>Preview fixture with existing and missing relative image paths.</x:v>
      </x:c>
      <x:c r="J17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7" s="4" t="n">
        <x:v>1</x:v>
      </x:c>
      <x:c r="L17" t="str">
        <x:v>Remote image URLs are not implemented.</x:v>
      </x:c>
      <x:c r="M17" t="str">
        <x:v>Sources/Graft/Views/MarkdownPreviewView.swift imageView, image(for:)</x:v>
      </x:c>
      <x:c r="N17" t="str">
        <x:v>2026-06-25</x:v>
      </x:c>
    </x:row>
    <x:row r="18" ht="78" customHeight="1">
      <x:c r="A18" t="str">
        <x:v>APP-017</x:v>
      </x:c>
      <x:c r="B18" t="str">
        <x:v>Images</x:v>
      </x:c>
      <x:c r="C18" t="str">
        <x:v>macOS app</x:v>
      </x:c>
      <x:c r="D18" t="str">
        <x:v>As a writer I want to import a local image into the workspace and insert portable Markdown.</x:v>
      </x:c>
      <x:c r="E18" t="str">
        <x:v>`insertImageFromPanel()` allows common image types; `ImageImportService.importImage` creates `assets/&lt;document-path-stem&gt;/`, sanitizes the source filename, avoids collisions with `-2`, `-3`, etc., copies the file, returns a relative Markdown image tag, appends it to editor text, and snapshots with reason `Inserted image`.</x:v>
      </x:c>
      <x:c r="F18" t="str">
        <x:v>Verified</x:v>
      </x:c>
      <x:c r="G18" t="str">
        <x:v>-</x:v>
      </x:c>
      <x:c r="H18" t="str">
        <x:v>-</x:v>
      </x:c>
      <x:c r="I18" t="str">
        <x:v>Import duplicate image names into a temp workspace; inspect asset paths, editor text, and snapshots.</x:v>
      </x:c>
      <x:c r="J18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8" s="4" t="n">
        <x:v>1</x:v>
      </x:c>
      <x:c r="L18" t="str">
        <x:v>Copied asset persists even if the modified Markdown is never saved.</x:v>
      </x:c>
      <x:c r="M18" t="str">
        <x:v>Sources/Graft/Stores/WorkspaceStore.swift insertImageFromPanel; Sources/Graft/Services/ImageImportService.swift importImage</x:v>
      </x:c>
      <x:c r="N18" t="str">
        <x:v>2026-06-25</x:v>
      </x:c>
    </x:row>
    <x:row r="19" ht="78" customHeight="1">
      <x:c r="A19" t="str">
        <x:v>APP-018</x:v>
      </x:c>
      <x:c r="B19" t="str">
        <x:v>External Edits</x:v>
      </x:c>
      <x:c r="C19" t="str">
        <x:v>macOS app</x:v>
      </x:c>
      <x:c r="D19" t="str">
        <x:v>As a writer I want Graft to notice file-system edits made by agents or tools.</x:v>
      </x:c>
      <x:c r="E19" t="str">
        <x:v>`FileWatcher` polls known Markdown file modification dates every second. When a known URL's mtime increases, it updates the known date and invokes the store's external-change handler.</x:v>
      </x:c>
      <x:c r="F19" t="str">
        <x:v>Verified</x:v>
      </x:c>
      <x:c r="G19" t="str">
        <x:v>-</x:v>
      </x:c>
      <x:c r="H19" t="str">
        <x:v>-</x:v>
      </x:c>
      <x:c r="I19" t="str">
        <x:v>Temp workspace: start watcher/app, modify file externally, wait &gt;1s, inspect activity/review state.</x:v>
      </x:c>
      <x:c r="J19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19" s="4" t="n">
        <x:v>1</x:v>
      </x:c>
      <x:c r="L19" t="str">
        <x:v>New files are not watched until file list reload updates the watcher.</x:v>
      </x:c>
      <x:c r="M19" t="str">
        <x:v>Sources/Graft/Services/FileWatcher.swift FileWatcher.start, update, markClean; Sources/Graft/Stores/WorkspaceStore.swift openWorkspace watcher.start</x:v>
      </x:c>
      <x:c r="N19" t="str">
        <x:v>2026-06-25</x:v>
      </x:c>
    </x:row>
    <x:row r="20" ht="78" customHeight="1">
      <x:c r="A20" t="str">
        <x:v>APP-019</x:v>
      </x:c>
      <x:c r="B20" t="str">
        <x:v>External Edits</x:v>
      </x:c>
      <x:c r="C20" t="str">
        <x:v>macOS app</x:v>
      </x:c>
      <x:c r="D20" t="str">
        <x:v>As a writer I want to turn off external-agent detection when I do not want disk edits captured.</x:v>
      </x:c>
      <x:c r="E20" t="str">
        <x:v>`SettingsView` binds `Show external agent changes` to `externalChangeDetectionEnabled`; `handleExternalChange(at:)` returns immediately when the flag is false.</x:v>
      </x:c>
      <x:c r="F20" t="str">
        <x:v>Verified</x:v>
      </x:c>
      <x:c r="G20" t="str">
        <x:v>-</x:v>
      </x:c>
      <x:c r="H20" t="str">
        <x:v>-</x:v>
      </x:c>
      <x:c r="I20" t="str">
        <x:v>Toggle setting off, externally modify a known file, assert no review/banner/activity.</x:v>
      </x:c>
      <x:c r="J20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0" s="4" t="n">
        <x:v>1</x:v>
      </x:c>
      <x:c r="L20" t="str">
        <x:v>The ignored edit has no user-visible explanation.</x:v>
      </x:c>
      <x:c r="M20" t="str">
        <x:v>Sources/Graft/App/SettingsView.swift externalChangeDetectionEnabled Toggle; Sources/Graft/Stores/WorkspaceStore.swift handleExternalChange</x:v>
      </x:c>
      <x:c r="N20" t="str">
        <x:v>2026-06-25</x:v>
      </x:c>
    </x:row>
    <x:row r="21" ht="78" customHeight="1">
      <x:c r="A21" t="str">
        <x:v>APP-020</x:v>
      </x:c>
      <x:c r="B21" t="str">
        <x:v>External Edits</x:v>
      </x:c>
      <x:c r="C21" t="str">
        <x:v>macOS app</x:v>
      </x:c>
      <x:c r="D21" t="str">
        <x:v>As a writer I want a clean external edit to become a review proposal before it replaces my draft.</x:v>
      </x:c>
      <x:c r="E21" t="str">
        <x:v>For a changed selected file when `editorText == lastLoadedText`, `handleExternalChange` uses `lastLoadedText` as base, creates a pending `ChangeSet`, writes it through `ChangeSetStore`, restores the base text to disk/app state, selects the review, records activity, and shows `External edit is ready for review.`</x:v>
      </x:c>
      <x:c r="F21" t="str">
        <x:v>Verified</x:v>
      </x:c>
      <x:c r="G21" t="str">
        <x:v>-</x:v>
      </x:c>
      <x:c r="H21" t="str">
        <x:v>-</x:v>
      </x:c>
      <x:c r="I21" t="str">
        <x:v>External-write integration on a clean selected file; inspect `.graft/reviews/pending`, disk text, banner, and queue.</x:v>
      </x:c>
      <x:c r="J21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1" s="4" t="n">
        <x:v>1</x:v>
      </x:c>
      <x:c r="L21" t="str"/>
      <x:c r="M21" t="str">
        <x:v>Sources/Graft/Stores/WorkspaceStore.swift handleExternalChange, createReview, restoreTextToDisk</x:v>
      </x:c>
      <x:c r="N21" t="str">
        <x:v>2026-06-25</x:v>
      </x:c>
    </x:row>
    <x:row r="22" ht="78" customHeight="1">
      <x:c r="A22" t="str">
        <x:v>APP-021</x:v>
      </x:c>
      <x:c r="B22" t="str">
        <x:v>External Edits</x:v>
      </x:c>
      <x:c r="C22" t="str">
        <x:v>macOS app</x:v>
      </x:c>
      <x:c r="D22" t="str">
        <x:v>As a writer I want my unsaved draft protected when an external edit touches the same file.</x:v>
      </x:c>
      <x:c r="E22" t="str">
        <x:v>If the selected file is dirty, external change handling snapshots `External change conflict base`, creates a conflict `ChangeSet` with current editor text as base and disk text as proposal, restores the human draft to disk/app state, selects the conflict, records conflict activity, and shows a conflict banner.</x:v>
      </x:c>
      <x:c r="F22" t="str">
        <x:v>Verified</x:v>
      </x:c>
      <x:c r="G22" t="str">
        <x:v>-</x:v>
      </x:c>
      <x:c r="H22" t="str">
        <x:v>-</x:v>
      </x:c>
      <x:c r="I22" t="str">
        <x:v>Dirty selected file, external write same path, assert conflict review and preserved draft.</x:v>
      </x:c>
      <x:c r="J22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2" s="4" t="n">
        <x:v>1</x:v>
      </x:c>
      <x:c r="L22" t="str">
        <x:v>Conflict range meaning depends on diff engine output.</x:v>
      </x:c>
      <x:c r="M22" t="str">
        <x:v>Sources/Graft/Stores/WorkspaceStore.swift handleExternalChange, createReview, restoreTextToDisk</x:v>
      </x:c>
      <x:c r="N22" t="str">
        <x:v>2026-06-25</x:v>
      </x:c>
    </x:row>
    <x:row r="23" ht="78" customHeight="1">
      <x:c r="A23" t="str">
        <x:v>APP-022</x:v>
      </x:c>
      <x:c r="B23" t="str">
        <x:v>External Edits</x:v>
      </x:c>
      <x:c r="C23" t="str">
        <x:v>macOS app</x:v>
      </x:c>
      <x:c r="D23" t="str">
        <x:v>As a writer I want agent edits to other Markdown files queued for review without interrupting my current document.</x:v>
      </x:c>
      <x:c r="E23" t="str">
        <x:v>For a changed known non-selected file, the store uses that file's stored baseline, creates a pending review for that file, restores the baseline to disk, selects the review ID, and records file-watcher activity.</x:v>
      </x:c>
      <x:c r="F23" t="str">
        <x:v>Verified</x:v>
      </x:c>
      <x:c r="G23" t="str">
        <x:v>-</x:v>
      </x:c>
      <x:c r="H23" t="str">
        <x:v>-</x:v>
      </x:c>
      <x:c r="I23" t="str">
        <x:v>External-write integration on another known Markdown file; inspect current editor untouched and pending queue updated.</x:v>
      </x:c>
      <x:c r="J23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3" s="4" t="n">
        <x:v>1</x:v>
      </x:c>
      <x:c r="L23" t="str"/>
      <x:c r="M23" t="str">
        <x:v>Sources/Graft/Stores/WorkspaceStore.swift handleExternalChange, createReview, restoreTextToDisk</x:v>
      </x:c>
      <x:c r="N23" t="str">
        <x:v>2026-06-25</x:v>
      </x:c>
    </x:row>
    <x:row r="24" ht="78" customHeight="1">
      <x:c r="A24" t="str">
        <x:v>APP-023</x:v>
      </x:c>
      <x:c r="B24" t="str">
        <x:v>Review</x:v>
      </x:c>
      <x:c r="C24" t="str">
        <x:v>macOS app</x:v>
      </x:c>
      <x:c r="D24" t="str">
        <x:v>As a reviewer I want pending and conflicting agent edits visible in a side rail.</x:v>
      </x:c>
      <x:c r="E24" t="str">
        <x:v>`ReviewRailView` shows the selected file/workspace context, a count badge when pending reviews exist, an empty state otherwise, and rows with summary, file path, author, hunk count, and conflict badge. Selecting a row calls `WorkspaceStore.focus` to load the file if needed and select the review.</x:v>
      </x:c>
      <x:c r="F24" t="str">
        <x:v>Verified</x:v>
      </x:c>
      <x:c r="G24" t="str">
        <x:v>-</x:v>
      </x:c>
      <x:c r="H24" t="str">
        <x:v>-</x:v>
      </x:c>
      <x:c r="I24" t="str">
        <x:v>Seed pending/conflict reviews or trigger external edit; inspect rail, badges, and focus behavior.</x:v>
      </x:c>
      <x:c r="J24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4" s="4" t="n">
        <x:v>1</x:v>
      </x:c>
      <x:c r="L24" t="str"/>
      <x:c r="M24" t="str">
        <x:v>Sources/Graft/Views/ReviewRailView.swift ReviewRailView.body, ReviewRailRow; Sources/Graft/Stores/WorkspaceStore.swift focus</x:v>
      </x:c>
      <x:c r="N24" t="str">
        <x:v>2026-06-25</x:v>
      </x:c>
    </x:row>
    <x:row r="25" ht="78" customHeight="1">
      <x:c r="A25" t="str">
        <x:v>APP-024</x:v>
      </x:c>
      <x:c r="B25" t="str">
        <x:v>Review</x:v>
      </x:c>
      <x:c r="C25" t="str">
        <x:v>macOS app</x:v>
      </x:c>
      <x:c r="D25" t="str">
        <x:v>As a reviewer I want to compare the current draft and proposed Markdown before deciding.</x:v>
      </x:c>
      <x:c r="E25" t="str">
        <x:v>`MarkdownEditorView` displays `InlineDiffView` above the editor when a selected pending review exists. `InlineDiffView` shows summary, author/file metadata, hunk count, conflict badge, whole-review actions, and current/proposed diff blocks or conflict columns for each range.</x:v>
      </x:c>
      <x:c r="F25" t="str">
        <x:v>Verified</x:v>
      </x:c>
      <x:c r="G25" t="str">
        <x:v>-</x:v>
      </x:c>
      <x:c r="H25" t="str">
        <x:v>-</x:v>
      </x:c>
      <x:c r="I25" t="str">
        <x:v>Create review with multiple hunk kinds; inspect rendered diff and actions.</x:v>
      </x:c>
      <x:c r="J25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5" s="4" t="n">
        <x:v>1</x:v>
      </x:c>
      <x:c r="L25" t="str"/>
      <x:c r="M25" t="str">
        <x:v>Sources/Graft/Views/MarkdownEditorView.swift selectedChangeSet; Sources/Graft/Views/InlineDiffView.swift InlineDiffView.body, DiffBlock; Sources/Graft/Views/ConflictResolutionView.swift ConflictResolutionView.body</x:v>
      </x:c>
      <x:c r="N25" t="str">
        <x:v>2026-06-25</x:v>
      </x:c>
    </x:row>
    <x:row r="26" ht="78" customHeight="1">
      <x:c r="A26" t="str">
        <x:v>APP-024A</x:v>
      </x:c>
      <x:c r="B26" t="str">
        <x:v>Review</x:v>
      </x:c>
      <x:c r="C26" t="str">
        <x:v>macOS app</x:v>
      </x:c>
      <x:c r="D26" t="str">
        <x:v>As a reviewer I want an external-change banner with immediate actions for the selected proposal.</x:v>
      </x:c>
      <x:c r="E26" t="str">
        <x:v>`ExternalChangeBanner` renders when `workspace.externalChangeBanner` is set, shows status text with an external-change icon, shows `Reject` and `Accept` buttons only when the selected pending review exists, and always offers an `xmark` dismiss button that clears the banner.</x:v>
      </x:c>
      <x:c r="F26" t="str">
        <x:v>Verified</x:v>
      </x:c>
      <x:c r="G26" t="str">
        <x:v>-</x:v>
      </x:c>
      <x:c r="H26" t="str">
        <x:v>-</x:v>
      </x:c>
      <x:c r="I26" t="str">
        <x:v>Trigger pending/conflict external edit; click banner Accept, Reject, and dismiss in separate flows.</x:v>
      </x:c>
      <x:c r="J26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6" s="4" t="n">
        <x:v>1</x:v>
      </x:c>
      <x:c r="L26" t="str">
        <x:v>Banner actions operate on the currently selected review, not necessarily every review related to the banner text.</x:v>
      </x:c>
      <x:c r="M26" t="str">
        <x:v>Sources/Graft/Views/ContentView.swift ExternalChangeBanner; Sources/Graft/Stores/WorkspaceStore.swift accept(ChangeSet), reject(ChangeSet)</x:v>
      </x:c>
      <x:c r="N26" t="str">
        <x:v>2026-06-25</x:v>
      </x:c>
    </x:row>
    <x:row r="27" ht="78" customHeight="1">
      <x:c r="A27" t="str">
        <x:v>APP-025</x:v>
      </x:c>
      <x:c r="B27" t="str">
        <x:v>Review</x:v>
      </x:c>
      <x:c r="C27" t="str">
        <x:v>macOS app</x:v>
      </x:c>
      <x:c r="D27" t="str">
        <x:v>As a reviewer I want to accept an entire proposal when it still matches my draft.</x:v>
      </x:c>
      <x:c r="E27" t="str">
        <x:v>`accept(_:)` requires the selected file to match the review path and `editorText == changeSet.baseText`; it applies each remaining range through `MarkdownPatchEngine`, snapshots before accept, writes accepted text to disk, updates baseline/watcher, writes accepted review status, removes it from pending, sets a success banner, and refreshes snapshots.</x:v>
      </x:c>
      <x:c r="F27" t="str">
        <x:v>Verified</x:v>
      </x:c>
      <x:c r="G27" t="str">
        <x:v>-</x:v>
      </x:c>
      <x:c r="H27" t="str">
        <x:v>-</x:v>
      </x:c>
      <x:c r="I27" t="str">
        <x:v>Review integration: accept all; inspect disk, `.graft/reviews/accepted`, pending queue, history.</x:v>
      </x:c>
      <x:c r="J27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7" s="4" t="n">
        <x:v>1</x:v>
      </x:c>
      <x:c r="L27" t="str"/>
      <x:c r="M27" t="str">
        <x:v>Sources/Graft/Stores/WorkspaceStore.swift accept(ChangeSet)</x:v>
      </x:c>
      <x:c r="N27" t="str">
        <x:v>2026-06-25</x:v>
      </x:c>
    </x:row>
    <x:row r="28" ht="78" customHeight="1">
      <x:c r="A28" t="str">
        <x:v>APP-026</x:v>
      </x:c>
      <x:c r="B28" t="str">
        <x:v>Review</x:v>
      </x:c>
      <x:c r="C28" t="str">
        <x:v>macOS app</x:v>
      </x:c>
      <x:c r="D28" t="str">
        <x:v>As a reviewer I want to reject an entire proposal and keep my visible draft.</x:v>
      </x:c>
      <x:c r="E28" t="str">
        <x:v>`reject(_:)` writes rejected status, removes the review from pending, sets a rejected banner, and for the selected file writes the visible `editorText` back to disk via `restoreVisibleDraftToDisk`.</x:v>
      </x:c>
      <x:c r="F28" t="str">
        <x:v>Verified</x:v>
      </x:c>
      <x:c r="G28" t="str">
        <x:v>-</x:v>
      </x:c>
      <x:c r="H28" t="str">
        <x:v>-</x:v>
      </x:c>
      <x:c r="I28" t="str">
        <x:v>Review integration: reject all; inspect disk, `.graft/reviews/rejected`, pending queue.</x:v>
      </x:c>
      <x:c r="J28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8" s="4" t="n">
        <x:v>1</x:v>
      </x:c>
      <x:c r="L28" t="str"/>
      <x:c r="M28" t="str">
        <x:v>Sources/Graft/Stores/WorkspaceStore.swift reject(ChangeSet), updateReview, restoreVisibleDraftToDisk</x:v>
      </x:c>
      <x:c r="N28" t="str">
        <x:v>2026-06-25</x:v>
      </x:c>
    </x:row>
    <x:row r="29" ht="78" customHeight="1">
      <x:c r="A29" t="str">
        <x:v>APP-027</x:v>
      </x:c>
      <x:c r="B29" t="str">
        <x:v>Review</x:v>
      </x:c>
      <x:c r="C29" t="str">
        <x:v>macOS app</x:v>
      </x:c>
      <x:c r="D29" t="str">
        <x:v>As a reviewer I want to accept or reject a single hunk so I can keep only useful agent changes.</x:v>
      </x:c>
      <x:c r="E29" t="str">
        <x:v>`accept(_:from:)` requires the draft to match the review base, applies one range, snapshots, writes disk/baseline, removes that range, and finalizes accepted status when no ranges remain. `reject(_:from:)` removes one range, finalizes rejected status when no ranges remain, sets a banner, and restores visible draft to disk for the selected file.</x:v>
      </x:c>
      <x:c r="F29" t="str">
        <x:v>Verified</x:v>
      </x:c>
      <x:c r="G29" t="str">
        <x:v>-</x:v>
      </x:c>
      <x:c r="H29" t="str">
        <x:v>-</x:v>
      </x:c>
      <x:c r="I29" t="str">
        <x:v>Create multi-hunk review, accept one and reject one; inspect remaining ranges and final status.</x:v>
      </x:c>
      <x:c r="J29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29" s="4" t="n">
        <x:v>1</x:v>
      </x:c>
      <x:c r="L29" t="str">
        <x:v>After partial acceptance, remaining review keeps the original `proposedText` with updated `baseText`.</x:v>
      </x:c>
      <x:c r="M29" t="str">
        <x:v>Sources/Graft/Stores/WorkspaceStore.swift accept(ChangeRange), reject(ChangeRange), remove</x:v>
      </x:c>
      <x:c r="N29" t="str">
        <x:v>2026-06-25</x:v>
      </x:c>
    </x:row>
    <x:row r="30" ht="78" customHeight="1">
      <x:c r="A30" t="str">
        <x:v>APP-028</x:v>
      </x:c>
      <x:c r="B30" t="str">
        <x:v>Review</x:v>
      </x:c>
      <x:c r="C30" t="str">
        <x:v>macOS app</x:v>
      </x:c>
      <x:c r="D30" t="str">
        <x:v>As a reviewer I want stale proposals blocked instead of applied to the wrong text.</x:v>
      </x:c>
      <x:c r="E30" t="str">
        <x:v>Whole-review and hunk accept first require `editorText == changeSet.baseText`; if not, or if `MarkdownPatchEngine` throws `staleHunk`, the review is rewritten as conflict with current text as base, selected, and a conflict banner is shown.</x:v>
      </x:c>
      <x:c r="F30" t="str">
        <x:v>Verified</x:v>
      </x:c>
      <x:c r="G30" t="str">
        <x:v>-</x:v>
      </x:c>
      <x:c r="H30" t="str">
        <x:v>-</x:v>
      </x:c>
      <x:c r="I30" t="str">
        <x:v>Drift current draft after review creation, then attempt accept all/hunk; inspect conflict status and banner.</x:v>
      </x:c>
      <x:c r="J30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0" s="4" t="n">
        <x:v>1</x:v>
      </x:c>
      <x:c r="L30" t="str"/>
      <x:c r="M30" t="str">
        <x:v>Sources/Graft/Stores/WorkspaceStore.swift accept(ChangeSet), accept(ChangeRange), markReviewConflict</x:v>
      </x:c>
      <x:c r="N30" t="str">
        <x:v>2026-06-25</x:v>
      </x:c>
    </x:row>
    <x:row r="31" ht="78" customHeight="1">
      <x:c r="A31" t="str">
        <x:v>APP-029</x:v>
      </x:c>
      <x:c r="B31" t="str">
        <x:v>Review</x:v>
      </x:c>
      <x:c r="C31" t="str">
        <x:v>macOS app</x:v>
      </x:c>
      <x:c r="D31" t="str">
        <x:v>As a reviewer I want a conflict view that lets me choose between human draft and agent proposal.</x:v>
      </x:c>
      <x:c r="E31" t="str">
        <x:v>`ConflictResolutionView` renders a conflict label, `Human draft` and `Agent proposal` columns using `range.before`/`range.after`, and buttons `Keep draft` and `Use proposal` wired to hunk reject/accept.</x:v>
      </x:c>
      <x:c r="F31" t="str">
        <x:v>Verified</x:v>
      </x:c>
      <x:c r="G31" t="str">
        <x:v>-</x:v>
      </x:c>
      <x:c r="H31" t="str">
        <x:v>-</x:v>
      </x:c>
      <x:c r="I31" t="str">
        <x:v>Dirty file conflict flow; click both actions on separate seeded conflicts.</x:v>
      </x:c>
      <x:c r="J31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1" s="4" t="n">
        <x:v>1</x:v>
      </x:c>
      <x:c r="L31" t="str"/>
      <x:c r="M31" t="str">
        <x:v>Sources/Graft/Views/ConflictResolutionView.swift ConflictResolutionView.body; Sources/Graft/Views/InlineDiffView.swift conflict branch</x:v>
      </x:c>
      <x:c r="N31" t="str">
        <x:v>2026-06-25</x:v>
      </x:c>
    </x:row>
    <x:row r="32" ht="78" customHeight="1">
      <x:c r="A32" t="str">
        <x:v>APP-030</x:v>
      </x:c>
      <x:c r="B32" t="str">
        <x:v>History</x:v>
      </x:c>
      <x:c r="C32" t="str">
        <x:v>macOS app</x:v>
      </x:c>
      <x:c r="D32" t="str">
        <x:v>As a writer I want local checkpoints before risky operations and the ability to restore them.</x:v>
      </x:c>
      <x:c r="E32" t="str">
        <x:v>`VersionHistoryStore` writes snapshots under `.graft/history/&lt;safe-file&gt;/&lt;yyyyMMdd-HHmmss-SSS&gt;.md` with front matter for document, source, reason, and created date. `HistoryView` lists snapshots with reason/time/byte count and Restore button. `WorkspaceStore.restore` snapshots current content before restoring snapshot body to disk.</x:v>
      </x:c>
      <x:c r="F32" t="str">
        <x:v>Verified</x:v>
      </x:c>
      <x:c r="G32" t="str">
        <x:v>-</x:v>
      </x:c>
      <x:c r="H32" t="str">
        <x:v>-</x:v>
      </x:c>
      <x:c r="I32" t="str">
        <x:v>Manual checkpoint, save, restore; inspect files and UI list ordering.</x:v>
      </x:c>
      <x:c r="J32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2" s="4" t="n">
        <x:v>1</x:v>
      </x:c>
      <x:c r="L32" t="str">
        <x:v>Snapshot IDs can theoretically collide within the same millisecond.</x:v>
      </x:c>
      <x:c r="M32" t="str">
        <x:v>Sources/Graft/Services/VersionHistoryStore.swift snapshot, snapshots, restoreContent; Sources/Graft/Views/HistoryView.swift HistoryView.body; Sources/Graft/Stores/WorkspaceStore.swift restore</x:v>
      </x:c>
      <x:c r="N32" t="str">
        <x:v>2026-06-25</x:v>
      </x:c>
    </x:row>
    <x:row r="33" ht="78" customHeight="1">
      <x:c r="A33" t="str">
        <x:v>APP-031</x:v>
      </x:c>
      <x:c r="B33" t="str">
        <x:v>Share</x:v>
      </x:c>
      <x:c r="C33" t="str">
        <x:v>macOS app</x:v>
      </x:c>
      <x:c r="D33" t="str">
        <x:v>As a collaborator I want a local review packet checkpoint before sending context elsewhere.</x:v>
      </x:c>
      <x:c r="E33" t="str">
        <x:v>`ShareView` shows selected file, pending agent edit count, a `Create Packet Checkpoint` button that snapshots current file with reason `Review packet checkpoint` and shows a banner, plus pending reviews with `Show review` icon buttons that focus the review.</x:v>
      </x:c>
      <x:c r="F33" t="str">
        <x:v>Verified</x:v>
      </x:c>
      <x:c r="G33" t="str">
        <x:v>-</x:v>
      </x:c>
      <x:c r="H33" t="str">
        <x:v>-</x:v>
      </x:c>
      <x:c r="I33" t="str">
        <x:v>Open Share tab, click packet checkpoint, inspect snapshot and banner; seed pending review and click Show review.</x:v>
      </x:c>
      <x:c r="J33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3" s="4" t="n">
        <x:v>1</x:v>
      </x:c>
      <x:c r="L33" t="str">
        <x:v>`Review packet` currently means local checkpoint only; there is no export/send action.</x:v>
      </x:c>
      <x:c r="M33" t="str">
        <x:v>Sources/Graft/Views/ShareView.swift ShareView.body; Sources/Graft/Stores/WorkspaceStore.swift createReviewPacket</x:v>
      </x:c>
      <x:c r="N33" t="str">
        <x:v>2026-06-25</x:v>
      </x:c>
    </x:row>
    <x:row r="34" ht="78" customHeight="1">
      <x:c r="A34" t="str">
        <x:v>APP-032</x:v>
      </x:c>
      <x:c r="B34" t="str">
        <x:v>Agents</x:v>
      </x:c>
      <x:c r="C34" t="str">
        <x:v>macOS app</x:v>
      </x:c>
      <x:c r="D34" t="str">
        <x:v>As a writer using coding agents I want to see recent detected activity and the CLI workflow.</x:v>
      </x:c>
      <x:c r="E34" t="str">
        <x:v>`AgentsPanel` shows an empty state when no external edits were detected; otherwise it renders the latest `AgentActivity` with detail. The sidebar also renders activity rows when `workspace.agents` is not empty. AgentsPanel displays selectable command examples for `graft-cli status`, `snapshot`, and `submit-change`.</x:v>
      </x:c>
      <x:c r="F34" t="str">
        <x:v>Verified</x:v>
      </x:c>
      <x:c r="G34" t="str">
        <x:v>-</x:v>
      </x:c>
      <x:c r="H34" t="str">
        <x:v>-</x:v>
      </x:c>
      <x:c r="I34" t="str">
        <x:v>Inspector Agents tab and sidebar before/after external edit; assert activity row and command text.</x:v>
      </x:c>
      <x:c r="J34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4" s="4" t="n">
        <x:v>1</x:v>
      </x:c>
      <x:c r="L34" t="str">
        <x:v>Only the latest activity is retained because `recordAgentActivity` replaces `agents[0]`.</x:v>
      </x:c>
      <x:c r="M34" t="str">
        <x:v>Sources/Graft/Views/InspectorView.swift AgentsPanel; Sources/Graft/Views/SidebarView.swift SidebarActivityRow; Sources/Graft/Stores/WorkspaceStore.swift recordAgentActivity</x:v>
      </x:c>
      <x:c r="N34" t="str">
        <x:v>2026-06-25</x:v>
      </x:c>
    </x:row>
    <x:row r="35" ht="78" customHeight="1">
      <x:c r="A35" t="str">
        <x:v>APP-033</x:v>
      </x:c>
      <x:c r="B35" t="str">
        <x:v>Settings</x:v>
      </x:c>
      <x:c r="C35" t="str">
        <x:v>macOS app</x:v>
      </x:c>
      <x:c r="D35" t="str">
        <x:v>As a writer I want to tune editor behavior in Settings.</x:v>
      </x:c>
      <x:c r="E35" t="str">
        <x:v>`SettingsView` exposes toggles for autosave and external-change detection, a stepper for editor font size from 12 to 24 pt, and static workspace sidecar/asset labels. `MarkdownEditorView` passes `editorFontSize` into the `NSTextView` font.</x:v>
      </x:c>
      <x:c r="F35" t="str">
        <x:v>Verified</x:v>
      </x:c>
      <x:c r="G35" t="str">
        <x:v>-</x:v>
      </x:c>
      <x:c r="H35" t="str">
        <x:v>-</x:v>
      </x:c>
      <x:c r="I35" t="str">
        <x:v>Settings UI flow toggling autosave/detection and changing font size within one launch.</x:v>
      </x:c>
      <x:c r="J35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5" s="4" t="n">
        <x:v>1</x:v>
      </x:c>
      <x:c r="L35" t="str">
        <x:v>Settings are not persisted across app launches.</x:v>
      </x:c>
      <x:c r="M35" t="str">
        <x:v>Sources/Graft/App/SettingsView.swift SettingsView.body; Sources/Graft/Views/MarkdownEditorView.swift MarkdownTextView font binding</x:v>
      </x:c>
      <x:c r="N35" t="str">
        <x:v>2026-06-25</x:v>
      </x:c>
    </x:row>
    <x:row r="36" ht="78" customHeight="1">
      <x:c r="A36" t="str">
        <x:v>APP-034</x:v>
      </x:c>
      <x:c r="B36" t="str">
        <x:v>Commands</x:v>
      </x:c>
      <x:c r="C36" t="str">
        <x:v>macOS app</x:v>
      </x:c>
      <x:c r="D36" t="str">
        <x:v>As a keyboard user I want menu and toolbar commands for common document actions.</x:v>
      </x:c>
      <x:c r="E36" t="str">
        <x:v>`GraftCommands` adds Open Workspace (cmd-shift-o), Save Document (cmd-s), Snapshot Version (cmd-shift-s), inline Editor Mode picker, and Toggle Inspector (cmd-option-i). `ContentView` toolbar exposes Open, mode control, Save, Snapshot, Insert Image, and Inspector.</x:v>
      </x:c>
      <x:c r="F36" t="str">
        <x:v>Verified</x:v>
      </x:c>
      <x:c r="G36" t="str">
        <x:v>-</x:v>
      </x:c>
      <x:c r="H36" t="str">
        <x:v>-</x:v>
      </x:c>
      <x:c r="I36" t="str">
        <x:v>Manual/UI command smoke with and without a workspace selected.</x:v>
      </x:c>
      <x:c r="J36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6" s="4" t="n">
        <x:v>1</x:v>
      </x:c>
      <x:c r="L36" t="str">
        <x:v>Commands are not disabled when no file/workspace is selected; store guards make some no-ops silent.</x:v>
      </x:c>
      <x:c r="M36" t="str">
        <x:v>Sources/Graft/App/GraftCommands.swift GraftCommands.body; Sources/Graft/Views/ContentView.swift toolbar</x:v>
      </x:c>
      <x:c r="N36" t="str">
        <x:v>2026-06-25</x:v>
      </x:c>
    </x:row>
    <x:row r="37" ht="78" customHeight="1">
      <x:c r="A37" t="str">
        <x:v>APP-035</x:v>
      </x:c>
      <x:c r="B37" t="str">
        <x:v>Hidden Collaboration</x:v>
      </x:c>
      <x:c r="C37" t="str">
        <x:v>macOS app</x:v>
      </x:c>
      <x:c r="D37" t="str">
        <x:v>As a maintainer I want latent invite behavior tracked separately so it is not mistaken for shipped UI.</x:v>
      </x:c>
      <x:c r="E37" t="str">
        <x:v>`WorkspaceStore` can add/remove invites, persist `.graft/shares/invites.json`, and open a `mailto:` URL with local workspace details. No current view exposes invite entry/removal/compose controls.</x:v>
      </x:c>
      <x:c r="F37" t="str">
        <x:v>Verified</x:v>
      </x:c>
      <x:c r="G37" t="str">
        <x:v>-</x:v>
      </x:c>
      <x:c r="H37" t="str">
        <x:v>-</x:v>
      </x:c>
      <x:c r="I37" t="str">
        <x:v>Static check only unless a hidden harness is added.</x:v>
      </x:c>
      <x:c r="J37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7" s="4" t="n">
        <x:v>1</x:v>
      </x:c>
      <x:c r="L37" t="str">
        <x:v>No visible invite UI uses these methods; product decision needed before treating as shipped user-facing behavior.</x:v>
      </x:c>
      <x:c r="M37" t="str">
        <x:v>Sources/Graft/Stores/WorkspaceStore.swift addInvite, removeInvite, composeEmail, loadInviteManifest, writeInviteManifest</x:v>
      </x:c>
      <x:c r="N37" t="str">
        <x:v>2026-06-25</x:v>
      </x:c>
    </x:row>
    <x:row r="38" ht="78" customHeight="1">
      <x:c r="A38" t="str">
        <x:v>APP-036</x:v>
      </x:c>
      <x:c r="B38" t="str">
        <x:v>Hidden External Edits</x:v>
      </x:c>
      <x:c r="C38" t="str">
        <x:v>macOS app</x:v>
      </x:c>
      <x:c r="D38" t="str">
        <x:v>As a maintainer I want unexposed external-change handlers tracked so they are not mistaken for shipped UI.</x:v>
      </x:c>
      <x:c r="E38" t="str">
        <x:v>`reloadSelectedFromDisk()` snapshots with reason `Before accepting external change`, replaces editor state and baseline from the selected file on disk, clears the banner, and refreshes snapshots. `keepLocalVersion()` saves the current document and clears the banner. No current view or command calls either method.</x:v>
      </x:c>
      <x:c r="F38" t="str">
        <x:v>Verified</x:v>
      </x:c>
      <x:c r="G38" t="str">
        <x:v>-</x:v>
      </x:c>
      <x:c r="H38" t="str">
        <x:v>-</x:v>
      </x:c>
      <x:c r="I38" t="str">
        <x:v>Static check only unless a hidden harness is added; verify no direct call sites outside the method definitions.</x:v>
      </x:c>
      <x:c r="J38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38" s="4" t="n">
        <x:v>1</x:v>
      </x:c>
      <x:c r="L38" t="str">
        <x:v>These appear to be legacy or planned actions; product decision needed before testing as user-facing behavior.</x:v>
      </x:c>
      <x:c r="M38" t="str">
        <x:v>Sources/Graft/Stores/WorkspaceStore.swift reloadSelectedFromDisk, keepLocalVersion</x:v>
      </x:c>
      <x:c r="N38" t="str">
        <x:v>2026-06-25</x:v>
      </x:c>
    </x:row>
    <x:row r="39" ht="78" customHeight="1">
      <x:c r="A39" t="str">
        <x:v>CORE-001</x:v>
      </x:c>
      <x:c r="B39" t="str">
        <x:v>Core Review</x:v>
      </x:c>
      <x:c r="C39" t="str">
        <x:v>GraftCore</x:v>
      </x:c>
      <x:c r="D39" t="str">
        <x:v>As the review system I want change sets to preserve plain Markdown payloads and conflict state.</x:v>
      </x:c>
      <x:c r="E39" t="str">
        <x:v>`ChangeSet` stores file path, author name/kind, review status, summary, created date, base text, proposed text, and ranges. `hasConflicts` is true when status is `.conflict` or any range has `isConflict`.</x:v>
      </x:c>
      <x:c r="F39" t="str">
        <x:v>Verified</x:v>
      </x:c>
      <x:c r="G39" t="str">
        <x:v>-</x:v>
      </x:c>
      <x:c r="H39" t="str">
        <x:v>-</x:v>
      </x:c>
      <x:c r="I39" t="str">
        <x:v>Existing `ChangeSetTests`; add encode/decode and invalid payload cases if needed.</x:v>
      </x:c>
      <x:c r="J39" t="str">
        <x:v>`swift run --jobs 1 --build-path /tmp/graft-behavior-harness graft-behavior-harness` passed 8 GraftCore behavior checks; CLI smoke exercised metadata/history/snapshot paths; source inspection covered edge behavior outside the harness.</x:v>
      </x:c>
      <x:c r="K39" s="4" t="n">
        <x:v>1</x:v>
      </x:c>
      <x:c r="L39" t="str">
        <x:v>No validation of line ranges, status transitions, or empty payloads.</x:v>
      </x:c>
      <x:c r="M39" t="str">
        <x:v>Sources/GraftCore/Review/ChangeSet.swift ChangeSet, ChangeRange; Tests/GraftCoreTests/ChangeSetTests.swift</x:v>
      </x:c>
      <x:c r="N39" t="str">
        <x:v>2026-06-25</x:v>
      </x:c>
    </x:row>
    <x:row r="40" ht="78" customHeight="1">
      <x:c r="A40" t="str">
        <x:v>CORE-002</x:v>
      </x:c>
      <x:c r="B40" t="str">
        <x:v>Core Review</x:v>
      </x:c>
      <x:c r="C40" t="str">
        <x:v>GraftCore</x:v>
      </x:c>
      <x:c r="D40" t="str">
        <x:v>As a reviewer I want Markdown changes grouped into meaningful blocks.</x:v>
      </x:c>
      <x:c r="E40" t="str">
        <x:v>`MarkdownDiffEngine.changedRanges` returns no ranges when texts match, splits text into blank-line-delimited blocks while preserving fenced code blocks, aligns equal blocks by LCS, emits changed ranges, and infers kind from block text.</x:v>
      </x:c>
      <x:c r="F40" t="str">
        <x:v>Verified</x:v>
      </x:c>
      <x:c r="G40" t="str">
        <x:v>-</x:v>
      </x:c>
      <x:c r="H40" t="str">
        <x:v>-</x:v>
      </x:c>
      <x:c r="I40" t="str">
        <x:v>Existing `MarkdownDiffEngineTests`; add insertion/deletion/table/code/frontmatter cases.</x:v>
      </x:c>
      <x:c r="J40" t="str">
        <x:v>`swift run --jobs 1 --build-path /tmp/graft-behavior-harness graft-behavior-harness` passed 8 GraftCore behavior checks; CLI smoke exercised metadata/history/snapshot paths; source inspection covered edge behavior outside the harness.</x:v>
      </x:c>
      <x:c r="K40" s="4" t="n">
        <x:v>1</x:v>
      </x:c>
      <x:c r="L40" t="str">
        <x:v>Not a full Markdown AST; adjacent changed blocks are paired by index.</x:v>
      </x:c>
      <x:c r="M40" t="str">
        <x:v>Sources/GraftCore/Review/MarkdownDiffEngine.swift changedRanges; Tests/GraftCoreTests/MarkdownDiffEngineTests.swift</x:v>
      </x:c>
      <x:c r="N40" t="str">
        <x:v>2026-06-25</x:v>
      </x:c>
    </x:row>
    <x:row r="41" ht="78" customHeight="1">
      <x:c r="A41" t="str">
        <x:v>CORE-003</x:v>
      </x:c>
      <x:c r="B41" t="str">
        <x:v>Core Review</x:v>
      </x:c>
      <x:c r="C41" t="str">
        <x:v>GraftCore</x:v>
      </x:c>
      <x:c r="D41" t="str">
        <x:v>As a reviewer I want accepted hunks applied only when they match the current Markdown.</x:v>
      </x:c>
      <x:c r="E41" t="str">
        <x:v>`MarkdownPatchEngine.apply` inserts when `before` is empty, validates preferred line range for non-empty hunks, uses exact preferred match or a single relocated exact match, deletes/replaces/inserts replacement lines, collapses one duplicate blank line after deletions, and throws `invalidLineRange` or `staleHunk` when unsafe.</x:v>
      </x:c>
      <x:c r="F41" t="str">
        <x:v>Verified</x:v>
      </x:c>
      <x:c r="G41" t="str">
        <x:v>-</x:v>
      </x:c>
      <x:c r="H41" t="str">
        <x:v>-</x:v>
      </x:c>
      <x:c r="I41" t="str">
        <x:v>Existing `MarkdownPatchEngineTests`; add duplicate-block and insertion-drift tests.</x:v>
      </x:c>
      <x:c r="J41" t="str">
        <x:v>`swift run --jobs 1 --build-path /tmp/graft-behavior-harness graft-behavior-harness` passed 8 GraftCore behavior checks; CLI smoke exercised metadata/history/snapshot paths; source inspection covered edge behavior outside the harness.</x:v>
      </x:c>
      <x:c r="K41" s="4" t="n">
        <x:v>1</x:v>
      </x:c>
      <x:c r="L41" t="str">
        <x:v>Insertions are not context-validated; duplicate matches are stale.</x:v>
      </x:c>
      <x:c r="M41" t="str">
        <x:v>Sources/GraftCore/Review/MarkdownPatchEngine.swift apply; Tests/GraftCoreTests/MarkdownPatchEngineTests.swift</x:v>
      </x:c>
      <x:c r="N41" t="str">
        <x:v>2026-06-25</x:v>
      </x:c>
    </x:row>
    <x:row r="42" ht="78" customHeight="1">
      <x:c r="A42" t="str">
        <x:v>CORE-004</x:v>
      </x:c>
      <x:c r="B42" t="str">
        <x:v>Persistence</x:v>
      </x:c>
      <x:c r="C42" t="str">
        <x:v>GraftCore</x:v>
      </x:c>
      <x:c r="D42" t="str">
        <x:v>As the review system I want review state persisted locally by status.</x:v>
      </x:c>
      <x:c r="E42" t="str">
        <x:v>`ChangeSetStore.write` writes pretty sorted JSON to `.graft/reviews/&lt;status&gt;/&lt;uuid&gt;.json`; `load(status:)` and `loadAll()` read JSON reviews sorted by filename/created date; `delete` removes the file for the review's current status; `deleteMatching` removes matching file-path reviews for given statuses.</x:v>
      </x:c>
      <x:c r="F42" t="str">
        <x:v>Verified</x:v>
      </x:c>
      <x:c r="G42" t="str">
        <x:v>-</x:v>
      </x:c>
      <x:c r="H42" t="str">
        <x:v>-</x:v>
      </x:c>
      <x:c r="I42" t="str">
        <x:v>Existing `ChangeSetStoreTests`; add corrupt JSON/status-move tests.</x:v>
      </x:c>
      <x:c r="J42" t="str">
        <x:v>`swift run --jobs 1 --build-path /tmp/graft-behavior-harness graft-behavior-harness` passed 8 GraftCore behavior checks; CLI smoke exercised metadata/history/snapshot paths; source inspection covered edge behavior outside the harness.</x:v>
      </x:c>
      <x:c r="K42" s="4" t="n">
        <x:v>1</x:v>
      </x:c>
      <x:c r="L42" t="str">
        <x:v>Corrupt JSON makes load throw; no locking or schema version.</x:v>
      </x:c>
      <x:c r="M42" t="str">
        <x:v>Sources/GraftCore/Review/ChangeSetStore.swift write, loadAll, load, delete, deleteMatching; Tests/GraftCoreTests/ChangeSetStoreTests.swift</x:v>
      </x:c>
      <x:c r="N42" t="str">
        <x:v>2026-06-25</x:v>
      </x:c>
    </x:row>
    <x:row r="43" ht="78" customHeight="1">
      <x:c r="A43" t="str">
        <x:v>CORE-005</x:v>
      </x:c>
      <x:c r="B43" t="str">
        <x:v>Persistence</x:v>
      </x:c>
      <x:c r="C43" t="str">
        <x:v>GraftCore</x:v>
      </x:c>
      <x:c r="D43" t="str">
        <x:v>As the review system I want external edit metadata to attribute agent changes.</x:v>
      </x:c>
      <x:c r="E43" t="str">
        <x:v>`ChangeMetadataStore.metadata(for:)` reads `.graft/changes/*.json`, sorts filenames descending, decodes `ChangeMetadata`, returns the first exact `filePath` match, and ignores invalid JSON. `fallbackMetadata` returns agent `external` and summary `External edit detected`.</x:v>
      </x:c>
      <x:c r="F43" t="str">
        <x:v>Verified</x:v>
      </x:c>
      <x:c r="G43" t="str">
        <x:v>-</x:v>
      </x:c>
      <x:c r="H43" t="str">
        <x:v>-</x:v>
      </x:c>
      <x:c r="I43" t="str">
        <x:v>Existing `ChangeMetadataStoreTests`; add envelope JSON and multi-file ordering cases.</x:v>
      </x:c>
      <x:c r="J43" t="str">
        <x:v>`swift run --jobs 1 --build-path /tmp/graft-behavior-harness graft-behavior-harness` passed 8 GraftCore behavior checks; CLI smoke exercised metadata/history/snapshot paths; source inspection covered edge behavior outside the harness.</x:v>
      </x:c>
      <x:c r="K43" s="4" t="n">
        <x:v>1</x:v>
      </x:c>
      <x:c r="L43" t="str">
        <x:v>`Latest` depends on filename sort and only lowercase `.json` is included.</x:v>
      </x:c>
      <x:c r="M43" t="str">
        <x:v>Sources/GraftCore/Review/ChangeMetadataStore.swift metadata, fallbackMetadata; Tests/GraftCoreTests/ChangeMetadataStoreTests.swift</x:v>
      </x:c>
      <x:c r="N43" t="str">
        <x:v>2026-06-25</x:v>
      </x:c>
    </x:row>
    <x:row r="44" ht="78" customHeight="1">
      <x:c r="A44" t="str">
        <x:v>CORE-006</x:v>
      </x:c>
      <x:c r="B44" t="str">
        <x:v>Agent Contract</x:v>
      </x:c>
      <x:c r="C44" t="str">
        <x:v>GraftCore</x:v>
      </x:c>
      <x:c r="D44" t="str">
        <x:v>As an external agent I want an editing contract written into each workspace.</x:v>
      </x:c>
      <x:c r="E44" t="str">
        <x:v>`AgentInstructionsWriter.write()` creates/overwrites `AGENTS.md` with plain Markdown editing guidance and metadata JSON shape. `writeIfMissing()` returns the existing file path without overwriting when `AGENTS.md` already exists.</x:v>
      </x:c>
      <x:c r="F44" t="str">
        <x:v>Verified</x:v>
      </x:c>
      <x:c r="G44" t="str">
        <x:v>-</x:v>
      </x:c>
      <x:c r="H44" t="str">
        <x:v>-</x:v>
      </x:c>
      <x:c r="I44" t="str">
        <x:v>Existing `AgentInstructionsWriterTests`; add `writeIfMissing` preservation test.</x:v>
      </x:c>
      <x:c r="J44" t="str">
        <x:v>`swift run --jobs 1 --build-path /tmp/graft-behavior-harness graft-behavior-harness` passed 8 GraftCore behavior checks; CLI smoke exercised metadata/history/snapshot paths; source inspection covered edge behavior outside the harness.</x:v>
      </x:c>
      <x:c r="K44" s="4" t="n">
        <x:v>1</x:v>
      </x:c>
      <x:c r="L44" t="str">
        <x:v>`write()` always overwrites and content is not configurable.</x:v>
      </x:c>
      <x:c r="M44" t="str">
        <x:v>Sources/GraftCore/Review/AgentInstructionsWriter.swift write, writeIfMissing; Tests/GraftCoreTests/AgentInstructionsWriterTests.swift</x:v>
      </x:c>
      <x:c r="N44" t="str">
        <x:v>2026-06-25</x:v>
      </x:c>
    </x:row>
    <x:row r="45" ht="78" customHeight="1">
      <x:c r="A45" t="str">
        <x:v>CLI-001</x:v>
      </x:c>
      <x:c r="B45" t="str">
        <x:v>CLI</x:v>
      </x:c>
      <x:c r="C45" t="str">
        <x:v>graft-cli</x:v>
      </x:c>
      <x:c r="D45" t="str">
        <x:v>As an agent I want to inspect a Graft vault before editing.</x:v>
      </x:c>
      <x:c r="E45" t="str">
        <x:v>`graft-cli status &lt;vault&gt;` standardizes the vault path, prints vault path, Markdown file count, sidecar path, pending change metadata count, up to 12 Markdown files excluding `.graft` and `AGENTS.md`, and up to 6 change metadata filenames.</x:v>
      </x:c>
      <x:c r="F45" t="str">
        <x:v>Verified</x:v>
      </x:c>
      <x:c r="G45" t="str">
        <x:v>-</x:v>
      </x:c>
      <x:c r="H45" t="str">
        <x:v>-</x:v>
      </x:c>
      <x:c r="I45" t="str">
        <x:v>CLI smoke test with temp vault and captured stdout.</x:v>
      </x:c>
      <x:c r="J45" t="str">
        <x:v>Temp-vault CLI smoke passed using `/tmp/graft-behavior-build/.../graft-cli`: status listed 1 md file, snapshot wrote history, submit-change wrote metadata and snapshot, history listed snapshots/change, apply printed legacy snapshot-only note.</x:v>
      </x:c>
      <x:c r="K45" s="4" t="n">
        <x:v>1</x:v>
      </x:c>
      <x:c r="L45" t="str">
        <x:v>Missing vault reports zero files; command does not inspect `.graft/reviews`; no explicit exit codes.</x:v>
      </x:c>
      <x:c r="M45" t="str">
        <x:v>Sources/GraftCLI/main.swift status, markdownFiles, changeMetadataFiles</x:v>
      </x:c>
      <x:c r="N45" t="str">
        <x:v>2026-06-25</x:v>
      </x:c>
    </x:row>
    <x:row r="46" ht="78" customHeight="1">
      <x:c r="A46" t="str">
        <x:v>CLI-002</x:v>
      </x:c>
      <x:c r="B46" t="str">
        <x:v>CLI</x:v>
      </x:c>
      <x:c r="C46" t="str">
        <x:v>graft-cli</x:v>
      </x:c>
      <x:c r="D46" t="str">
        <x:v>As an agent I want to register a completed edit so Graft can show useful review metadata.</x:v>
      </x:c>
      <x:c r="E46" t="str">
        <x:v>`graft-cli submit-change &lt;vault&gt; &lt;file&gt; --agent &lt;name&gt; --summary &lt;text&gt;` requires vault/file, defaults agent to `agent` and summary to `Agent edit submitted for review`, verifies the target file exists, writes a metadata envelope to `.graft/changes/&lt;timestamp&gt;-&lt;agent&gt;.json`, prints paths/format, and snapshots the edited file.</x:v>
      </x:c>
      <x:c r="F46" t="str">
        <x:v>Verified</x:v>
      </x:c>
      <x:c r="G46" t="str">
        <x:v>-</x:v>
      </x:c>
      <x:c r="H46" t="str">
        <x:v>-</x:v>
      </x:c>
      <x:c r="I46" t="str">
        <x:v>Temp-vault CLI integration; decode JSON and inspect history snapshot.</x:v>
      </x:c>
      <x:c r="J46" t="str">
        <x:v>Temp-vault CLI smoke passed using `/tmp/graft-behavior-build/.../graft-cli`: status listed 1 md file, snapshot wrote history, submit-change wrote metadata and snapshot, history listed snapshots/change, apply printed legacy snapshot-only note.</x:v>
      </x:c>
      <x:c r="K46" s="4" t="n">
        <x:v>1</x:v>
      </x:c>
      <x:c r="L46" t="str">
        <x:v>Relative path traversal is not guarded; front matter escaping is undefined.</x:v>
      </x:c>
      <x:c r="M46" t="str">
        <x:v>Sources/GraftCLI/main.swift submitChange, writeChangeMetadata, writeSnapshot</x:v>
      </x:c>
      <x:c r="N46" t="str">
        <x:v>2026-06-25</x:v>
      </x:c>
    </x:row>
    <x:row r="47" ht="78" customHeight="1">
      <x:c r="A47" t="str">
        <x:v>CLI-003</x:v>
      </x:c>
      <x:c r="B47" t="str">
        <x:v>CLI</x:v>
      </x:c>
      <x:c r="C47" t="str">
        <x:v>graft-cli</x:v>
      </x:c>
      <x:c r="D47" t="str">
        <x:v>As an agent I want to create a checkpoint before broad edits.</x:v>
      </x:c>
      <x:c r="E47" t="str">
        <x:v>`graft-cli snapshot &lt;vault&gt; &lt;file&gt; --message &lt;text&gt;` writes `.graft/history/&lt;safe-file&gt;/&lt;timestamp&gt;.md` with front matter and source `graft-cli`; default message is `CLI checkpoint`.</x:v>
      </x:c>
      <x:c r="F47" t="str">
        <x:v>Verified</x:v>
      </x:c>
      <x:c r="G47" t="str">
        <x:v>-</x:v>
      </x:c>
      <x:c r="H47" t="str">
        <x:v>-</x:v>
      </x:c>
      <x:c r="I47" t="str">
        <x:v>Temp-vault CLI snapshot and inspect history file.</x:v>
      </x:c>
      <x:c r="J47" t="str">
        <x:v>Temp-vault CLI smoke passed using `/tmp/graft-behavior-build/.../graft-cli`: status listed 1 md file, snapshot wrote history, submit-change wrote metadata and snapshot, history listed snapshots/change, apply printed legacy snapshot-only note.</x:v>
      </x:c>
      <x:c r="K47" s="4" t="n">
        <x:v>1</x:v>
      </x:c>
      <x:c r="L47" t="str">
        <x:v>Errors print to stdout and do not set explicit failure status.</x:v>
      </x:c>
      <x:c r="M47" t="str">
        <x:v>Sources/GraftCLI/main.swift snapshot, writeSnapshot</x:v>
      </x:c>
      <x:c r="N47" t="str">
        <x:v>2026-06-25</x:v>
      </x:c>
    </x:row>
    <x:row r="48" ht="78" customHeight="1">
      <x:c r="A48" t="str">
        <x:v>CLI-004</x:v>
      </x:c>
      <x:c r="B48" t="str">
        <x:v>CLI</x:v>
      </x:c>
      <x:c r="C48" t="str">
        <x:v>graft-cli</x:v>
      </x:c>
      <x:c r="D48" t="str">
        <x:v>As an agent I want legacy apply behavior to be explicit so I do not think it accepts review changes.</x:v>
      </x:c>
      <x:c r="E48" t="str">
        <x:v>`graft-cli apply &lt;vault&gt; &lt;file&gt; --author &lt;name&gt;` writes a snapshot with reason `External edit checkpoint by &lt;author&gt;` and prints `apply is a legacy snapshot-only alias; use submit-change to register review metadata`.</x:v>
      </x:c>
      <x:c r="F48" t="str">
        <x:v>Verified</x:v>
      </x:c>
      <x:c r="G48" t="str">
        <x:v>-</x:v>
      </x:c>
      <x:c r="H48" t="str">
        <x:v>-</x:v>
      </x:c>
      <x:c r="I48" t="str">
        <x:v>CLI smoke test for usage and normal apply note.</x:v>
      </x:c>
      <x:c r="J48" t="str">
        <x:v>Temp-vault CLI smoke passed using `/tmp/graft-behavior-build/.../graft-cli`: status listed 1 md file, snapshot wrote history, submit-change wrote metadata and snapshot, history listed snapshots/change, apply printed legacy snapshot-only note.</x:v>
      </x:c>
      <x:c r="K48" s="4" t="n">
        <x:v>1</x:v>
      </x:c>
      <x:c r="L48" t="str">
        <x:v>`apply` name may still imply mutation despite the note.</x:v>
      </x:c>
      <x:c r="M48" t="str">
        <x:v>Sources/GraftCLI/main.swift apply</x:v>
      </x:c>
      <x:c r="N48" t="str">
        <x:v>2026-06-25</x:v>
      </x:c>
    </x:row>
    <x:row r="49" ht="78" customHeight="1">
      <x:c r="A49" t="str">
        <x:v>CLI-005</x:v>
      </x:c>
      <x:c r="B49" t="str">
        <x:v>CLI</x:v>
      </x:c>
      <x:c r="C49" t="str">
        <x:v>graft-cli</x:v>
      </x:c>
      <x:c r="D49" t="str">
        <x:v>As an agent I want to inspect local history and submitted changes for a file.</x:v>
      </x:c>
      <x:c r="E49" t="str">
        <x:v>`graft-cli history &lt;vault&gt; &lt;file&gt;` prints `No snapshots for &lt;file&gt;` when empty; otherwise prints snapshot IDs newest-first, then `Submitted changes:` and matching change metadata IDs newest-first if any exist.</x:v>
      </x:c>
      <x:c r="F49" t="str">
        <x:v>Verified</x:v>
      </x:c>
      <x:c r="G49" t="str">
        <x:v>-</x:v>
      </x:c>
      <x:c r="H49" t="str">
        <x:v>-</x:v>
      </x:c>
      <x:c r="I49" t="str">
        <x:v>CLI integration with seeded `.graft/history` and `.graft/changes`.</x:v>
      </x:c>
      <x:c r="J49" t="str">
        <x:v>Temp-vault CLI smoke passed using `/tmp/graft-behavior-build/.../graft-cli`: status listed 1 md file, snapshot wrote history, submit-change wrote metadata and snapshot, history listed snapshots/change, apply printed legacy snapshot-only note.</x:v>
      </x:c>
      <x:c r="K49" s="4" t="n">
        <x:v>1</x:v>
      </x:c>
      <x:c r="L49" t="str">
        <x:v>Only IDs are printed, not summaries/authors; invalid metadata is skipped silently.</x:v>
      </x:c>
      <x:c r="M49" t="str">
        <x:v>Sources/GraftCLI/main.swift history, changeMetadataFiles</x:v>
      </x:c>
      <x:c r="N49" t="str">
        <x:v>2026-06-25</x:v>
      </x:c>
    </x:row>
    <x:row r="50" ht="78" customHeight="1">
      <x:c r="A50" t="str">
        <x:v>BUILD-001</x:v>
      </x:c>
      <x:c r="B50" t="str">
        <x:v>Build</x:v>
      </x:c>
      <x:c r="C50" t="str">
        <x:v>Swift package</x:v>
      </x:c>
      <x:c r="D50" t="str">
        <x:v>As a developer I want SwiftPM targets for the app, core library, CLI, behavior harness, and tests.</x:v>
      </x:c>
      <x:c r="E50" t="str">
        <x:v>`Package.swift` declares Swift tools 6.0, macOS 14, products `GraftCore`, `Graft`, `graft-cli`, and `graft-behavior-harness`; targets for `Sources/GraftCore`, `Sources/Graft`, `Sources/GraftCLI`, `Sources/GraftBehaviorHarness`, and test target `GraftCoreTests`.</x:v>
      </x:c>
      <x:c r="F50" t="str">
        <x:v>Verified</x:v>
      </x:c>
      <x:c r="G50" t="str">
        <x:v>DEF-001</x:v>
      </x:c>
      <x:c r="H50" t="str">
        <x:v>Logistical</x:v>
      </x:c>
      <x:c r="I50" t="str">
        <x:v>`swift package describe --type json`; `swift build --jobs 1 --build-path /tmp/graft-behavior-build-after-harness`.</x:v>
      </x:c>
      <x:c r="J50" t="str">
        <x:v>`swift package describe --type json` confirmed products/targets including `graft-behavior-harness`; `swift build --jobs 1 --build-path /tmp/graft-behavior-build-after-harness` passed in 79.90s. `swift test` still requires full Xcode/XCTest in this environment; see DEF-001 and BUILD-004.</x:v>
      </x:c>
      <x:c r="K50" s="4" t="n">
        <x:v>1</x:v>
      </x:c>
      <x:c r="L50" t="str">
        <x:v>`GraftCoreTests` remains an XCTest target for full-Xcode environments; this local CLT toolchain cannot import XCTest.</x:v>
      </x:c>
      <x:c r="M50" t="str">
        <x:v>Package.swift package products and targets</x:v>
      </x:c>
      <x:c r="N50" t="str">
        <x:v>2026-06-25</x:v>
      </x:c>
    </x:row>
    <x:row r="51" ht="78" customHeight="1">
      <x:c r="A51" t="str">
        <x:v>BUILD-002</x:v>
      </x:c>
      <x:c r="B51" t="str">
        <x:v>Build</x:v>
      </x:c>
      <x:c r="C51" t="str">
        <x:v>script</x:v>
      </x:c>
      <x:c r="D51" t="str">
        <x:v>As a tester I want a local helper to build, bundle, launch, and verify the macOS app.</x:v>
      </x:c>
      <x:c r="E51" t="str">
        <x:v>`script/build_and_run.sh` kills existing `Graft`, builds with `SWIFT_BUILD_JOBS` default `1` and configurable `GRAFT_BUILD_PATH`, stages `dist/Graft.app`, writes `Info.plist`, copies icon if present, and supports run, debug, logs, telemetry, and verify modes. Verify launches the bundle, waits one second, and checks `pgrep -x Graft`.</x:v>
      </x:c>
      <x:c r="F51" t="str">
        <x:v>Verified</x:v>
      </x:c>
      <x:c r="G51" t="str">
        <x:v>-</x:v>
      </x:c>
      <x:c r="H51" t="str">
        <x:v>-</x:v>
      </x:c>
      <x:c r="I51" t="str">
        <x:v>`GRAFT_BUILD_PATH=/tmp/graft-run ./script/build_and_run.sh --verify`.</x:v>
      </x:c>
      <x:c r="J51" t="str">
        <x:v>`swift build --jobs 1 --build-path /tmp/graft-behavior-build` passed in 67.33s; `GRAFT_BUILD_PATH=/tmp/graft-run-behavior ./script/build_and_run.sh --verify` passed and `pgrep` returned PID 28871; UI-only details checked against source.</x:v>
      </x:c>
      <x:c r="K51" s="4" t="n">
        <x:v>1</x:v>
      </x:c>
      <x:c r="L51" t="str">
        <x:v>Verify only proves the process exists; the generated app is not signed for distribution.</x:v>
      </x:c>
      <x:c r="M51" t="str">
        <x:v>script/build_and_run.sh mode handling and bundle staging</x:v>
      </x:c>
      <x:c r="N51" t="str">
        <x:v>2026-06-25</x:v>
      </x:c>
    </x:row>
    <x:row r="52" ht="78" customHeight="1">
      <x:c r="A52" t="str">
        <x:v>BUILD-003</x:v>
      </x:c>
      <x:c r="B52" t="str">
        <x:v>Packaging</x:v>
      </x:c>
      <x:c r="C52" t="str">
        <x:v>script</x:v>
      </x:c>
      <x:c r="D52" t="str">
        <x:v>As a developer I want a local package artifact for the app bundle.</x:v>
      </x:c>
      <x:c r="E52" t="str">
        <x:v>`script/package_release.sh` creates a temp Swift build path, calls the build helper with `--verify`, checks `dist/Graft.app` exists, kills the launched app, removes any old zip, and uses `ditto` to create `dist/Graft.zip`.</x:v>
      </x:c>
      <x:c r="F52" t="str">
        <x:v>Verified</x:v>
      </x:c>
      <x:c r="G52" t="str">
        <x:v>-</x:v>
      </x:c>
      <x:c r="H52" t="str">
        <x:v>-</x:v>
      </x:c>
      <x:c r="I52" t="str">
        <x:v>`./script/package_release.sh`; inspect `dist/Graft.zip`.</x:v>
      </x:c>
      <x:c r="J52" t="str">
        <x:v>`./script/package_release.sh` passed; produced `dist/Graft.zip` (1.1 MB) and `dist/Graft.app/Contents/MacOS/Graft` (2.9 MB).</x:v>
      </x:c>
      <x:c r="K52" s="4" t="n">
        <x:v>1</x:v>
      </x:c>
      <x:c r="L52" t="str">
        <x:v>Packaging launches the GUI and does not sign/notarize.</x:v>
      </x:c>
      <x:c r="M52" t="str">
        <x:v>script/package_release.sh package flow</x:v>
      </x:c>
      <x:c r="N52" t="str">
        <x:v>2026-06-25</x:v>
      </x:c>
    </x:row>
    <x:row r="53" ht="78" customHeight="1">
      <x:c r="A53" t="str">
        <x:v>BUILD-004</x:v>
      </x:c>
      <x:c r="B53" t="str">
        <x:v>Build</x:v>
      </x:c>
      <x:c r="C53" t="str">
        <x:v>Swift package</x:v>
      </x:c>
      <x:c r="D53" t="str">
        <x:v>As a developer on a CommandLineTools-only machine I want a behavior harness so core review behavior can still be verified without XCTest.</x:v>
      </x:c>
      <x:c r="E53" t="str">
        <x:v>`GraftBehaviorHarness` is a SwiftPM executable target depending on `GraftCore`. `main.swift` runs plain Swift checks mirroring the current `GraftCoreTests` behavior coverage for change sets, metadata, agent instructions, patching, review storage, and diff grouping, prints pass/fail lines, and exits non-zero when any check fails.</x:v>
      </x:c>
      <x:c r="F53" t="str">
        <x:v>Verified</x:v>
      </x:c>
      <x:c r="G53" t="str">
        <x:v>-</x:v>
      </x:c>
      <x:c r="H53" t="str">
        <x:v>-</x:v>
      </x:c>
      <x:c r="I53" t="str">
        <x:v>`swift run --jobs 1 --build-path /tmp/graft-behavior-harness graft-behavior-harness`.</x:v>
      </x:c>
      <x:c r="J53" t="str">
        <x:v>`swift run --jobs 1 --build-path /tmp/graft-behavior-harness graft-behavior-harness` passed in 34.42s with 8 behavior checks; `swift build --jobs 1 --build-path /tmp/graft-behavior-build-after-harness` also passed.</x:v>
      </x:c>
      <x:c r="K53" s="4" t="n">
        <x:v>1</x:v>
      </x:c>
      <x:c r="L53" t="str">
        <x:v>The harness is not XCTest and must be kept in sync with `Tests/GraftCoreTests` until a full Xcode/XCTest runner is available.</x:v>
      </x:c>
      <x:c r="M53" t="str">
        <x:v>Package.swift GraftBehaviorHarness target; Sources/GraftBehaviorHarness/main.swift</x:v>
      </x:c>
      <x:c r="N53" t="str">
        <x:v>2026-06-25</x:v>
      </x:c>
    </x:row>
    <x:row r="54" ht="78" customHeight="1">
      <x:c r="A54" t="str">
        <x:v>SKILL-001</x:v>
      </x:c>
      <x:c r="B54" t="str">
        <x:v>Agent Workflow</x:v>
      </x:c>
      <x:c r="C54" t="str">
        <x:v>repo-local skill</x:v>
      </x:c>
      <x:c r="D54" t="str">
        <x:v>As an external coding agent I want a clear Graft workflow before editing Markdown in a Graft workspace.</x:v>
      </x:c>
      <x:c r="E54" t="str">
        <x:v>`skills/graft-sync/SKILL.md` tells agents to read `AGENTS.md`, run `graft-cli status`, snapshot before broad edits, edit Markdown directly, preserve formatting conventions, submit change metadata, leave review handling to Graft, and avoid bypassing `.graft/reviews`.</x:v>
      </x:c>
      <x:c r="F54" t="str">
        <x:v>Verified</x:v>
      </x:c>
      <x:c r="G54" t="str">
        <x:v>-</x:v>
      </x:c>
      <x:c r="H54" t="str">
        <x:v>-</x:v>
      </x:c>
      <x:c r="I54" t="str">
        <x:v>Static doc inspection plus command consistency scan.</x:v>
      </x:c>
      <x:c r="J54" t="str">
        <x:v>Static source check matched expected behavior.</x:v>
      </x:c>
      <x:c r="K54" s="4" t="n">
        <x:v>1</x:v>
      </x:c>
      <x:c r="L54" t="str"/>
      <x:c r="M54" t="str">
        <x:v>skills/graft-sync/SKILL.md workflow and rules</x:v>
      </x:c>
      <x:c r="N54" t="str">
        <x:v>2026-06-25</x:v>
      </x:c>
    </x:row>
    <x:row r="55" ht="78" customHeight="1">
      <x:c r="A55" t="str">
        <x:v>WEB-001</x:v>
      </x:c>
      <x:c r="B55" t="str">
        <x:v>Page Shell</x:v>
      </x:c>
      <x:c r="C55" t="str">
        <x:v>landing page</x:v>
      </x:c>
      <x:c r="D55" t="str">
        <x:v>As a visitor I want the landing page to mount with correct metadata and fonts.</x:v>
      </x:c>
      <x:c r="E55" t="str">
        <x:v>`index.html` defines language, UTF-8, viewport-fit cover, description, title, favicon `/graft-app-icon.png`, Google font preconnects/stylesheet, root div, and module script `/src/main.jsx`; `main.jsx` renders `&lt;App /&gt;` inside `React.StrictMode` and imports tokens/styles.</x:v>
      </x:c>
      <x:c r="F55" t="str">
        <x:v>Verified</x:v>
      </x:c>
      <x:c r="G55" t="str">
        <x:v>-</x:v>
      </x:c>
      <x:c r="H55" t="str">
        <x:v>-</x:v>
      </x:c>
      <x:c r="I55" t="str">
        <x:v>Browser assertion for title/meta/icon/root and loaded font families.</x:v>
      </x:c>
      <x:c r="J55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55" s="4" t="n">
        <x:v>1</x:v>
      </x:c>
      <x:c r="L55" t="str">
        <x:v>No Open Graph/Twitter metadata is defined; Google Fonts is an external dependency.</x:v>
      </x:c>
      <x:c r="M55" t="str">
        <x:v>landing page/index.html metadata/root/script; landing page/src/main.jsx createRoot render</x:v>
      </x:c>
      <x:c r="N55" t="str">
        <x:v>2026-06-25</x:v>
      </x:c>
    </x:row>
    <x:row r="56" ht="78" customHeight="1">
      <x:c r="A56" t="str">
        <x:v>WEB-002</x:v>
      </x:c>
      <x:c r="B56" t="str">
        <x:v>Build</x:v>
      </x:c>
      <x:c r="C56" t="str">
        <x:v>landing page</x:v>
      </x:c>
      <x:c r="D56" t="str">
        <x:v>As a maintainer I want scripts to run and build the landing page.</x:v>
      </x:c>
      <x:c r="E56" t="str">
        <x:v>`package.json` has Vite scripts `dev`, `build`, and `preview`; dependencies include React 19, Vite 8, GSAP, Lenis, Three/react-three packages, and Playwright as a dev dependency.</x:v>
      </x:c>
      <x:c r="F56" t="str">
        <x:v>Verified</x:v>
      </x:c>
      <x:c r="G56" t="str">
        <x:v>-</x:v>
      </x:c>
      <x:c r="H56" t="str">
        <x:v>-</x:v>
      </x:c>
      <x:c r="I56" t="str">
        <x:v>Run `npm run build`; start dev/preview for browser tests.</x:v>
      </x:c>
      <x:c r="J56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56" s="4" t="n">
        <x:v>1</x:v>
      </x:c>
      <x:c r="L56" t="str">
        <x:v>QA scripts are not wired into npm scripts.</x:v>
      </x:c>
      <x:c r="M56" t="str">
        <x:v>landing page/package.json scripts and dependencies</x:v>
      </x:c>
      <x:c r="N56" t="str">
        <x:v>2026-06-25</x:v>
      </x:c>
    </x:row>
    <x:row r="57" ht="78" customHeight="1">
      <x:c r="A57" t="str">
        <x:v>WEB-003</x:v>
      </x:c>
      <x:c r="B57" t="str">
        <x:v>Navigation</x:v>
      </x:c>
      <x:c r="C57" t="str">
        <x:v>landing page</x:v>
      </x:c>
      <x:c r="D57" t="str">
        <x:v>As a visitor I want the sticky terminal nav to take me to the waitlist.</x:v>
      </x:c>
      <x:c r="E57" t="str">
        <x:v>`Nav` renders a sticky masthead with terminal command copy and one `--join` anchor to `#waitlist`. `scrollToHash` prevents default for hash links, finds the target with `document.querySelector`, scrolls via `scrollToTarget` offset `-8`, and pushes the hash to history.</x:v>
      </x:c>
      <x:c r="F57" t="str">
        <x:v>Verified</x:v>
      </x:c>
      <x:c r="G57" t="str">
        <x:v>-</x:v>
      </x:c>
      <x:c r="H57" t="str">
        <x:v>-</x:v>
      </x:c>
      <x:c r="I57" t="str">
        <x:v>Click `a[href="#waitlist"]`; assert URL hash and waitlist section position.</x:v>
      </x:c>
      <x:c r="J57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57" s="4" t="n">
        <x:v>1</x:v>
      </x:c>
      <x:c r="L57" t="str">
        <x:v>Only waitlist is visibly linked; malformed hashes may throw through `querySelector`.</x:v>
      </x:c>
      <x:c r="M57" t="str">
        <x:v>landing page/src/App.jsx scrollToHash, Nav; landing page/src/styles.css .masthead</x:v>
      </x:c>
      <x:c r="N57" t="str">
        <x:v>2026-06-25</x:v>
      </x:c>
    </x:row>
    <x:row r="58" ht="78" customHeight="1">
      <x:c r="A58" t="str">
        <x:v>WEB-004</x:v>
      </x:c>
      <x:c r="B58" t="str">
        <x:v>Navigation</x:v>
      </x:c>
      <x:c r="C58" t="str">
        <x:v>landing page</x:v>
      </x:c>
      <x:c r="D58" t="str">
        <x:v>As a visitor opening a direct section URL I want the page to align to the target after fonts and animations settle.</x:v>
      </x:c>
      <x:c r="E58" t="str">
        <x:v>`App` schedules hash alignment at 80ms and 320ms on mount/hashchange, waits for `document.fonts.ready`, and calls `scrollToTarget` for the current hash when a matching target exists.</x:v>
      </x:c>
      <x:c r="F58" t="str">
        <x:v>Verified</x:v>
      </x:c>
      <x:c r="G58" t="str">
        <x:v>-</x:v>
      </x:c>
      <x:c r="H58" t="str">
        <x:v>-</x:v>
      </x:c>
      <x:c r="I58" t="str">
        <x:v>Direct-load `#agents`, `#workflow`, `#files`, and `#waitlist`; assert target visible.</x:v>
      </x:c>
      <x:c r="J58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58" s="4" t="n">
        <x:v>1</x:v>
      </x:c>
      <x:c r="L58" t="str">
        <x:v>Invalid selector hashes are not caught.</x:v>
      </x:c>
      <x:c r="M58" t="str">
        <x:v>landing page/src/App.jsx App.useEffect alignHash; landing page/src/SmoothScrollProvider.jsx scrollToTarget</x:v>
      </x:c>
      <x:c r="N58" t="str">
        <x:v>2026-06-25</x:v>
      </x:c>
    </x:row>
    <x:row r="59" ht="78" customHeight="1">
      <x:c r="A59" t="str">
        <x:v>WEB-005</x:v>
      </x:c>
      <x:c r="B59" t="str">
        <x:v>Hero</x:v>
      </x:c>
      <x:c r="C59" t="str">
        <x:v>landing page</x:v>
      </x:c>
      <x:c r="D59" t="str">
        <x:v>As a visitor I want to understand the product promise immediately.</x:v>
      </x:c>
      <x:c r="E59" t="str">
        <x:v>`Hero` renders H1 `review agent edits / in 1 pass.`, explanatory lede about opening a Markdown folder and approving changes before they touch the draft, a compact waitlist form, and an illustrative terminal preview stream from `heroStream`.</x:v>
      </x:c>
      <x:c r="F59" t="str">
        <x:v>Verified</x:v>
      </x:c>
      <x:c r="G59" t="str">
        <x:v>-</x:v>
      </x:c>
      <x:c r="H59" t="str">
        <x:v>-</x:v>
      </x:c>
      <x:c r="I59" t="str">
        <x:v>Browser text/screenshot checks at 320, 375, 768, 1280x800.</x:v>
      </x:c>
      <x:c r="J59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59" s="4" t="n">
        <x:v>1</x:v>
      </x:c>
      <x:c r="L59" t="str">
        <x:v>Terminal stream is illustrative preview output, not verified CLI behavior.</x:v>
      </x:c>
      <x:c r="M59" t="str">
        <x:v>landing page/src/App.jsx heroStream, Hero</x:v>
      </x:c>
      <x:c r="N59" t="str">
        <x:v>2026-06-25</x:v>
      </x:c>
    </x:row>
    <x:row r="60" ht="78" customHeight="1">
      <x:c r="A60" t="str">
        <x:v>WEB-006</x:v>
      </x:c>
      <x:c r="B60" t="str">
        <x:v>Problem</x:v>
      </x:c>
      <x:c r="C60" t="str">
        <x:v>landing page</x:v>
      </x:c>
      <x:c r="D60" t="str">
        <x:v>As a visitor I want the page to explain the risk of agent-edited Markdown.</x:v>
      </x:c>
      <x:c r="E60" t="str">
        <x:v>`Problem` renders `#agents` with heading `your markdown folder has 2 authors now.`, copy about agent edits changing multiple files, and an illustrative terminal diff stream from `problemStream`.</x:v>
      </x:c>
      <x:c r="F60" t="str">
        <x:v>Verified</x:v>
      </x:c>
      <x:c r="G60" t="str">
        <x:v>-</x:v>
      </x:c>
      <x:c r="H60" t="str">
        <x:v>-</x:v>
      </x:c>
      <x:c r="I60" t="str">
        <x:v>Direct `#agents`; assert heading and diff stream visible.</x:v>
      </x:c>
      <x:c r="J60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0" s="4" t="n">
        <x:v>1</x:v>
      </x:c>
      <x:c r="L60" t="str">
        <x:v>No visible nav route except direct hash.</x:v>
      </x:c>
      <x:c r="M60" t="str">
        <x:v>landing page/src/App.jsx problemStream, Problem</x:v>
      </x:c>
      <x:c r="N60" t="str">
        <x:v>2026-06-25</x:v>
      </x:c>
    </x:row>
    <x:row r="61" ht="78" customHeight="1">
      <x:c r="A61" t="str">
        <x:v>WEB-007</x:v>
      </x:c>
      <x:c r="B61" t="str">
        <x:v>Workflow</x:v>
      </x:c>
      <x:c r="C61" t="str">
        <x:v>landing page</x:v>
      </x:c>
      <x:c r="D61" t="str">
        <x:v>As a visitor I want to see the product workflow as four clear decisions.</x:v>
      </x:c>
      <x:c r="E61" t="str">
        <x:v>`Workflow` renders `#workflow` with four `workflowStages`: write intent/keep folder, let agent work/avoid two drafts, inspect trail/review in one pass, keep source/ship with trail. Desktop GSAP scroll updates terminal command opacity and toggles `.is-active`; mobile reveals each command on scroll.</x:v>
      </x:c>
      <x:c r="F61" t="str">
        <x:v>Verified</x:v>
      </x:c>
      <x:c r="G61" t="str">
        <x:v>-</x:v>
      </x:c>
      <x:c r="H61" t="str">
        <x:v>-</x:v>
      </x:c>
      <x:c r="I61" t="str">
        <x:v>Desktop/mobile scroll automation; inspect command opacity and active stage styling.</x:v>
      </x:c>
      <x:c r="J61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1" s="4" t="n">
        <x:v>1</x:v>
      </x:c>
      <x:c r="L61" t="str">
        <x:v>JS toggles `.is-active`, but no CSS rule currently styles `.workflow-stage.is-active`.</x:v>
      </x:c>
      <x:c r="M61" t="str">
        <x:v>landing page/src/App.jsx workflowStages, Workflow; landing page/src/useGraftMotion.js workflow animation</x:v>
      </x:c>
      <x:c r="N61" t="str">
        <x:v>2026-06-25</x:v>
      </x:c>
    </x:row>
    <x:row r="62" ht="78" customHeight="1">
      <x:c r="A62" t="str">
        <x:v>WEB-008</x:v>
      </x:c>
      <x:c r="B62" t="str">
        <x:v>Plain Files</x:v>
      </x:c>
      <x:c r="C62" t="str">
        <x:v>landing page</x:v>
      </x:c>
      <x:c r="D62" t="str">
        <x:v>As a visitor I want proof that Graft keeps Markdown local and portable.</x:v>
      </x:c>
      <x:c r="E62" t="str">
        <x:v>`PlainFiles` renders `#files` with ledger rows for `*.md`, `.graft/history`, and `.graft/reviews`, plus terminal tree snippets from `fileRows` explaining plain files, local history, and review packets.</x:v>
      </x:c>
      <x:c r="F62" t="str">
        <x:v>Verified</x:v>
      </x:c>
      <x:c r="G62" t="str">
        <x:v>-</x:v>
      </x:c>
      <x:c r="H62" t="str">
        <x:v>-</x:v>
      </x:c>
      <x:c r="I62" t="str">
        <x:v>Direct `#files`; assert ledger rows and terminal tree text.</x:v>
      </x:c>
      <x:c r="J62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2" s="4" t="n">
        <x:v>1</x:v>
      </x:c>
      <x:c r="L62" t="str">
        <x:v>File paths are product-proof copy, not live data.</x:v>
      </x:c>
      <x:c r="M62" t="str">
        <x:v>landing page/src/App.jsx fileRows, PlainFiles</x:v>
      </x:c>
      <x:c r="N62" t="str">
        <x:v>2026-06-25</x:v>
      </x:c>
    </x:row>
    <x:row r="63" ht="78" customHeight="1">
      <x:c r="A63" t="str">
        <x:v>WEB-009</x:v>
      </x:c>
      <x:c r="B63" t="str">
        <x:v>Waitlist</x:v>
      </x:c>
      <x:c r="C63" t="str">
        <x:v>landing page</x:v>
      </x:c>
      <x:c r="D63" t="str">
        <x:v>As a visitor I want to join the waitlist with my email.</x:v>
      </x:c>
      <x:c r="E63" t="str">
        <x:v>Hero and footer `WaitlistForm` instances share one `email`, `touched`, and `status` state. Input uses `type=email`, `inputMode=email`, `autocomplete=email`, `aria-invalid`, and helper text. Invalid email sets status `error` and alert helper; valid email sets `loading`, disables submit, then changes to `success` after 650ms.</x:v>
      </x:c>
      <x:c r="F63" t="str">
        <x:v>Verified</x:v>
      </x:c>
      <x:c r="G63" t="str">
        <x:v>-</x:v>
      </x:c>
      <x:c r="H63" t="str">
        <x:v>-</x:v>
      </x:c>
      <x:c r="I63" t="str">
        <x:v>Existing Playwright waitlist test; add footer/hero shared-state check.</x:v>
      </x:c>
      <x:c r="J63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3" s="4" t="n">
        <x:v>1</x:v>
      </x:c>
      <x:c r="L63" t="str">
        <x:v>Success is simulated client-only; no network request or persistence exists.</x:v>
      </x:c>
      <x:c r="M63" t="str">
        <x:v>landing page/src/App.jsx waitlist state, handleSubmit, WaitlistForm; landing page/qa/responsive.spec.js waitlist test</x:v>
      </x:c>
      <x:c r="N63" t="str">
        <x:v>2026-06-25</x:v>
      </x:c>
    </x:row>
    <x:row r="64" ht="78" customHeight="1">
      <x:c r="A64" t="str">
        <x:v>WEB-010</x:v>
      </x:c>
      <x:c r="B64" t="str">
        <x:v>Waitlist</x:v>
      </x:c>
      <x:c r="C64" t="str">
        <x:v>landing page</x:v>
      </x:c>
      <x:c r="D64" t="str">
        <x:v>As a visitor I want clear feedback while editing or correcting my waitlist email.</x:v>
      </x:c>
      <x:c r="E64" t="str">
        <x:v>`emailState` is `default` until touched and non-empty, `success` for regex-valid emails, and `error` otherwise. `handleEmailChange` updates email and resets status to `idle` unless currently loading. Helper text switches between early-access helper, invalid-email guidance, and success message.</x:v>
      </x:c>
      <x:c r="F64" t="str">
        <x:v>Verified</x:v>
      </x:c>
      <x:c r="G64" t="str">
        <x:v>-</x:v>
      </x:c>
      <x:c r="H64" t="str">
        <x:v>-</x:v>
      </x:c>
      <x:c r="I64" t="str">
        <x:v>Browser form-state assertions for blur, invalid edit, valid edit, post-success edit.</x:v>
      </x:c>
      <x:c r="J64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4" s="4" t="n">
        <x:v>1</x:v>
      </x:c>
      <x:c r="L64" t="str">
        <x:v>Leading/trailing whitespace is not trimmed before validation.</x:v>
      </x:c>
      <x:c r="M64" t="str">
        <x:v>landing page/src/App.jsx emailState useMemo, handleEmailChange, WaitlistForm helperText</x:v>
      </x:c>
      <x:c r="N64" t="str">
        <x:v>2026-06-25</x:v>
      </x:c>
    </x:row>
    <x:row r="65" ht="78" customHeight="1">
      <x:c r="A65" t="str">
        <x:v>WEB-011</x:v>
      </x:c>
      <x:c r="B65" t="str">
        <x:v>Motion</x:v>
      </x:c>
      <x:c r="C65" t="str">
        <x:v>landing page</x:v>
      </x:c>
      <x:c r="D65" t="str">
        <x:v>As a visitor I want smooth navigation and readable content when motion is allowed.</x:v>
      </x:c>
      <x:c r="E65" t="str">
        <x:v>`SmoothScrollProvider` creates a Lenis instance unless reduced motion is active, feeds it from GSAP ticker, updates ScrollTrigger on scroll, disables Lenis anchor handling, and destroys/clears the instance on unmount. `scrollToTarget` uses Lenis with quart easing and offset when available.</x:v>
      </x:c>
      <x:c r="F65" t="str">
        <x:v>Verified</x:v>
      </x:c>
      <x:c r="G65" t="str">
        <x:v>-</x:v>
      </x:c>
      <x:c r="H65" t="str">
        <x:v>-</x:v>
      </x:c>
      <x:c r="I65" t="str">
        <x:v>Browser scroll/hash automation with default motion; assert no console errors and target visibility.</x:v>
      </x:c>
      <x:c r="J65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5" s="4" t="n">
        <x:v>1</x:v>
      </x:c>
      <x:c r="L65" t="str">
        <x:v>Fallback `scrollIntoView` ignores the offset option.</x:v>
      </x:c>
      <x:c r="M65" t="str">
        <x:v>landing page/src/SmoothScrollProvider.jsx scrollToTarget, SmoothScrollProvider</x:v>
      </x:c>
      <x:c r="N65" t="str">
        <x:v>2026-06-25</x:v>
      </x:c>
    </x:row>
    <x:row r="66" ht="78" customHeight="1">
      <x:c r="A66" t="str">
        <x:v>WEB-012</x:v>
      </x:c>
      <x:c r="B66" t="str">
        <x:v>Accessibility</x:v>
      </x:c>
      <x:c r="C66" t="str">
        <x:v>landing page</x:v>
      </x:c>
      <x:c r="D66" t="str">
        <x:v>As a visitor who prefers reduced motion I want content visible without animation-dependent reveal states.</x:v>
      </x:c>
      <x:c r="E66" t="str">
        <x:v>`useGraftMotion` checks `prefers-reduced-motion`; in reduced mode it sets reveal/terminal/form elements visible and stream commands opacity 1. CSS reduced-motion media also shortens animations/transitions, disables caret animation, and forces reveal/stream opacity visible.</x:v>
      </x:c>
      <x:c r="F66" t="str">
        <x:v>Verified</x:v>
      </x:c>
      <x:c r="G66" t="str">
        <x:v>-</x:v>
      </x:c>
      <x:c r="H66" t="str">
        <x:v>-</x:v>
      </x:c>
      <x:c r="I66" t="str">
        <x:v>Existing Playwright reduced-motion test; inspect `.js-reveal` opacity and nav/form visibility.</x:v>
      </x:c>
      <x:c r="J66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6" s="4" t="n">
        <x:v>1</x:v>
      </x:c>
      <x:c r="L66" t="str"/>
      <x:c r="M66" t="str">
        <x:v>landing page/src/useGraftMotion.js reduced motion branch; landing page/src/styles.css reduced motion media; landing page/qa/responsive.spec.js reduced motion test</x:v>
      </x:c>
      <x:c r="N66" t="str">
        <x:v>2026-06-25</x:v>
      </x:c>
    </x:row>
    <x:row r="67" ht="78" customHeight="1">
      <x:c r="A67" t="str">
        <x:v>WEB-013</x:v>
      </x:c>
      <x:c r="B67" t="str">
        <x:v>Responsive</x:v>
      </x:c>
      <x:c r="C67" t="str">
        <x:v>landing page</x:v>
      </x:c>
      <x:c r="D67" t="str">
        <x:v>As a mobile visitor I want the page to stay readable and tappable without horizontal overflow.</x:v>
      </x:c>
      <x:c r="E67" t="str">
        <x:v>CSS sets min-width 320 and `overflow-x: clip`; split grids stack at max-width 60rem; mobile type/form/nav adjustments apply at 40rem; nav target min height is 44px and submit min height is 52px. Playwright tests check no overflow and tap targets across 320, 375, 414, 768, and 1280x800.</x:v>
      </x:c>
      <x:c r="F67" t="str">
        <x:v>Verified</x:v>
      </x:c>
      <x:c r="G67" t="str">
        <x:v>-</x:v>
      </x:c>
      <x:c r="H67" t="str">
        <x:v>-</x:v>
      </x:c>
      <x:c r="I67" t="str">
        <x:v>`npx playwright test qa/responsive.spec.js --reporter=line` against dev server on 5173.</x:v>
      </x:c>
      <x:c r="J67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7" s="4" t="n">
        <x:v>1</x:v>
      </x:c>
      <x:c r="L67" t="str">
        <x:v>`overflow-x: clip` can hide layout mistakes instead of surfacing them through scroll width alone.</x:v>
      </x:c>
      <x:c r="M67" t="str">
        <x:v>landing page/src/styles.css html/body, 60rem media, 40rem media; landing page/qa/responsive.spec.js viewports, target-size checks</x:v>
      </x:c>
      <x:c r="N67" t="str">
        <x:v>2026-06-25</x:v>
      </x:c>
    </x:row>
    <x:row r="68" ht="78" customHeight="1">
      <x:c r="A68" t="str">
        <x:v>WEB-014</x:v>
      </x:c>
      <x:c r="B68" t="str">
        <x:v>Footer</x:v>
      </x:c>
      <x:c r="C68" t="str">
        <x:v>landing page</x:v>
      </x:c>
      <x:c r="D68" t="str">
        <x:v>As a visitor I want a concise footer that states what Graft is and who made it.</x:v>
      </x:c>
      <x:c r="E68" t="str">
        <x:v>`Footer` renders a terminal colophon with `graft --about`, `graft preview · local-first mac markdown editor`, product pillars, and `made by adnaan · 2026 · no cloud account required`.</x:v>
      </x:c>
      <x:c r="F68" t="str">
        <x:v>Verified</x:v>
      </x:c>
      <x:c r="G68" t="str">
        <x:v>-</x:v>
      </x:c>
      <x:c r="H68" t="str">
        <x:v>-</x:v>
      </x:c>
      <x:c r="I68" t="str">
        <x:v>Scroll footer; assert text and contrast.</x:v>
      </x:c>
      <x:c r="J68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8" s="4" t="n">
        <x:v>1</x:v>
      </x:c>
      <x:c r="L68" t="str">
        <x:v>No legal, social, or contact links are present.</x:v>
      </x:c>
      <x:c r="M68" t="str">
        <x:v>landing page/src/App.jsx Footer; landing page/src/styles.css .colophon</x:v>
      </x:c>
      <x:c r="N68" t="str">
        <x:v>2026-06-25</x:v>
      </x:c>
    </x:row>
    <x:row r="69" ht="78" customHeight="1">
      <x:c r="A69" t="str">
        <x:v>WEB-015</x:v>
      </x:c>
      <x:c r="B69" t="str">
        <x:v>Assets</x:v>
      </x:c>
      <x:c r="C69" t="str">
        <x:v>landing page</x:v>
      </x:c>
      <x:c r="D69" t="str">
        <x:v>As a visitor I expect referenced visual assets to load and unused/dormant assets not to be mistaken for shipped behavior.</x:v>
      </x:c>
      <x:c r="E69" t="str">
        <x:v>The live page references `/graft-app-icon.png` as favicon. Other `public/graft-*.png` assets exist but are not referenced by current source. `CinematicCanvas.jsx` defines a reduced-motion/mobile-aware WebGL particle field but is not imported by `App` or `main`.</x:v>
      </x:c>
      <x:c r="F69" t="str">
        <x:v>Verified</x:v>
      </x:c>
      <x:c r="G69" t="str">
        <x:v>-</x:v>
      </x:c>
      <x:c r="H69" t="str">
        <x:v>-</x:v>
      </x:c>
      <x:c r="I69" t="str">
        <x:v>Import/network graph check; if canvas is restored, add canvas pixel and screenshot checks.</x:v>
      </x:c>
      <x:c r="J69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69" s="4" t="n">
        <x:v>1</x:v>
      </x:c>
      <x:c r="L69" t="str">
        <x:v>Are unused PNG assets and dormant WebGL canvas intentional leftovers or missing live visual behavior?</x:v>
      </x:c>
      <x:c r="M69" t="str">
        <x:v>landing page/index.html favicon; landing page/src/CinematicCanvas.jsx CinematicCanvas; landing page/src/main.jsx App import; landing page/src/App.jsx imports</x:v>
      </x:c>
      <x:c r="N69" t="str">
        <x:v>2026-06-25</x:v>
      </x:c>
    </x:row>
    <x:row r="70" ht="78" customHeight="1">
      <x:c r="A70" t="str">
        <x:v>WEB-016</x:v>
      </x:c>
      <x:c r="B70" t="str">
        <x:v>QA</x:v>
      </x:c>
      <x:c r="C70" t="str">
        <x:v>landing page</x:v>
      </x:c>
      <x:c r="D70" t="str">
        <x:v>As a maintainer I want browser automation that exercises the landing page behavior.</x:v>
      </x:c>
      <x:c r="E70" t="str">
        <x:v>`qa/responsive.spec.js` covers console errors, horizontal overflow, tap target sizes, above-fold hero CTA, reduced-motion visibility, and waitlist validation/success. `screenshot-qa.mjs` captures preview screenshots from `localhost:4173`. `visual-qa.mjs` performs design checks but contains stale selectors and expectations.</x:v>
      </x:c>
      <x:c r="F70" t="str">
        <x:v>Verified</x:v>
      </x:c>
      <x:c r="G70" t="str">
        <x:v>-</x:v>
      </x:c>
      <x:c r="H70" t="str">
        <x:v>-</x:v>
      </x:c>
      <x:c r="I70" t="str">
        <x:v>Treat responsive Playwright spec as authoritative; update visual script before relying on it.</x:v>
      </x:c>
      <x:c r="J70" t="str">
        <x:v>`npm run build` passed in 48.74s; Vite preview was reachable on 127.0.0.1:5173; `npx playwright test qa/responsive.spec.js --reporter=line` passed 7/7 in 39.6s; focused Playwright smoke passed metadata, hashes, sections, footer, and shared waitlist state.</x:v>
      </x:c>
      <x:c r="K70" s="4" t="n">
        <x:v>1</x:v>
      </x:c>
      <x:c r="L70" t="str">
        <x:v>`visual-qa.mjs` checks `.hero h2`, `.scene--hero h2`, `.paper-register`, and about 6 scenes, while current page uses `h1`, `.hero-split`, and 5 scenes.</x:v>
      </x:c>
      <x:c r="M70" t="str">
        <x:v>landing page/qa/responsive.spec.js; landing page/screenshot-qa.mjs; landing page/visual-qa.mjs</x:v>
      </x:c>
      <x:c r="N70" t="str">
        <x:v>2026-06-25</x:v>
      </x:c>
    </x:row>
    <x:row r="71" ht="78" customHeight="1">
      <x:c r="A71" t="str">
        <x:v>QA-001</x:v>
      </x:c>
      <x:c r="B71" t="str">
        <x:v>QA</x:v>
      </x:c>
      <x:c r="C71" t="str">
        <x:v>repo QA</x:v>
      </x:c>
      <x:c r="D71" t="str">
        <x:v>As a maintainer I want the prior feature-tracker generator accounted for so it is not confused with the current canonical workbook.</x:v>
      </x:c>
      <x:c r="E71" t="str">
        <x:v>`qa/graft_feature_tracker.mjs` is a repo-local spreadsheet generator for the earlier `outputs/graft-feature-audit-2026-06-23/graft-feature-tracker.xlsx` artifact. It hardcodes an older feature/issue list and writes a separate historical tracker; it is not the canonical workbook for this goal.</x:v>
      </x:c>
      <x:c r="F71" t="str">
        <x:v>Verified</x:v>
      </x:c>
      <x:c r="G71" t="str">
        <x:v>-</x:v>
      </x:c>
      <x:c r="H71" t="str">
        <x:v>-</x:v>
      </x:c>
      <x:c r="I71" t="str">
        <x:v>Static check; do not run unless intentionally regenerating the historical audit artifact.</x:v>
      </x:c>
      <x:c r="J71" t="str">
        <x:v>Static scan confirmed `qa/graft_feature_tracker.mjs` writes the historical `outputs/graft-feature-audit-2026-06-23/graft-feature-tracker.xlsx` with hardcoded prior rows/issues.</x:v>
      </x:c>
      <x:c r="K71" s="4" t="n">
        <x:v>1</x:v>
      </x:c>
      <x:c r="L71" t="str">
        <x:v>Should this historical generator remain in the repo now that this goal has a new canonical workbook?</x:v>
      </x:c>
      <x:c r="M71" t="str">
        <x:v>qa/graft_feature_tracker.mjs main, features array, issues array</x:v>
      </x:c>
      <x:c r="N71" t="str">
        <x:v>2026-06-25</x:v>
      </x:c>
    </x:row>
  </x:sheetData>
  <x:dataValidations count="2">
    <x:dataValidation type="list" sqref="F2:F71">
      <x:formula1>"Spec'd,Tested-Pass,Tested-Fail,Fixed,Verified"</x:formula1>
    </x:dataValidation>
    <x:dataValidation type="list" sqref="H2:H71">
      <x:formula1>"-,Functional,Logistical,UX"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46e1254ec4c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58" hidden="0" customWidth="1"/>
    <x:col min="8" max="8" width="58" hidden="0" customWidth="1"/>
    <x:col min="9" max="9" width="58" hidden="0" customWidth="1"/>
    <x:col min="10" max="10" width="58" hidden="0" customWidth="1"/>
  </x:cols>
  <x:sheetData>
    <x:row r="1" ht="30" customHeight="1">
      <x:c r="A1" s="7" t="str">
        <x:v>Defect ID</x:v>
      </x:c>
      <x:c r="B1" s="7" t="str">
        <x:v>Feature ID</x:v>
      </x:c>
      <x:c r="C1" s="7" t="str">
        <x:v>Iteration</x:v>
      </x:c>
      <x:c r="D1" s="7" t="str">
        <x:v>Type</x:v>
      </x:c>
      <x:c r="E1" s="7" t="str">
        <x:v>Severity</x:v>
      </x:c>
      <x:c r="F1" s="7" t="str">
        <x:v>Status</x:v>
      </x:c>
      <x:c r="G1" s="7" t="str">
        <x:v>Observed behavior</x:v>
      </x:c>
      <x:c r="H1" s="7" t="str">
        <x:v>Root cause</x:v>
      </x:c>
      <x:c r="I1" s="7" t="str">
        <x:v>Fix summary</x:v>
      </x:c>
      <x:c r="J1" s="7" t="str">
        <x:v>Evidence</x:v>
      </x:c>
    </x:row>
    <x:row r="2" ht="118" customHeight="1">
      <x:c r="A2" t="str">
        <x:v>DEF-001</x:v>
      </x:c>
      <x:c r="B2" t="str">
        <x:v>BUILD-001</x:v>
      </x:c>
      <x:c r="C2" t="n">
        <x:v>1</x:v>
      </x:c>
      <x:c r="D2" t="str">
        <x:v>Logistical</x:v>
      </x:c>
      <x:c r="E2" t="str">
        <x:v>High</x:v>
      </x:c>
      <x:c r="F2" t="str">
        <x:v>Verified</x:v>
      </x:c>
      <x:c r="G2" t="str">
        <x:v>`swift test --jobs 1 --build-path /tmp/graft-behavior-test` fails before running any tests with `no such module 'XCTest'` at `Tests/GraftCoreTests/AgentInstructionsWriterTests.swift:1`.</x:v>
      </x:c>
      <x:c r="H2" t="str">
        <x:v>`xcode-select -p` is `/Library/Developer/CommandLineTools`; `/Applications/Xcode.app` and `XCTest.framework` were not found; `import Testing` also fails with `no such module 'Testing'`.</x:v>
      </x:c>
      <x:c r="I2" t="str">
        <x:v>Added a CLT-compatible SwiftPM executable target `graft-behavior-harness` that depends on `GraftCore` and mirrors the current GraftCore XCTest assertions with plain Swift checks. Existing XCTest files remain for full-Xcode environments.</x:v>
      </x:c>
      <x:c r="J2" t="str">
        <x:v>`swift run --jobs 1 --build-path /tmp/graft-behavior-harness graft-behavior-harness` passed 8 behavior checks; `swift build --jobs 1 --build-path /tmp/graft-behavior-build-after-harness` passed; `swift test` remains documented as full-Xcode-only in this environment.</x:v>
      </x:c>
    </x:row>
  </x:sheetData>
  <x:pageMargins left="0.7" right="0.7" top="0.75" bottom="0.75" header="0.3" footer="0.3"/>
  <x:tableParts count="1">
    <x:tablePart xmlns:r="http://schemas.openxmlformats.org/officeDocument/2006/relationships" r:id="R5dec7f2419a14f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72" hidden="0" customWidth="1"/>
    <x:col min="5" max="5" width="48" hidden="0" customWidth="1"/>
  </x:cols>
  <x:sheetData>
    <x:row r="1" ht="30" customHeight="1">
      <x:c r="A1" s="10" t="str">
        <x:v>Feature ID</x:v>
      </x:c>
      <x:c r="B1" s="10" t="str">
        <x:v>Area</x:v>
      </x:c>
      <x:c r="C1" s="10" t="str">
        <x:v>Surface</x:v>
      </x:c>
      <x:c r="D1" s="10" t="str">
        <x:v>Open question</x:v>
      </x:c>
      <x:c r="E1" s="10" t="str">
        <x:v>Source</x:v>
      </x:c>
    </x:row>
    <x:row r="2" ht="54" customHeight="1">
      <x:c r="A2" t="str">
        <x:v>APP-001</x:v>
      </x:c>
      <x:c r="B2" t="str">
        <x:v>App Shell</x:v>
      </x:c>
      <x:c r="C2" t="str">
        <x:v>macOS app</x:v>
      </x:c>
      <x:c r="D2" t="str">
        <x:v>Window recentering is delayed and only applies to visible windows; settings are in-memory only.</x:v>
      </x:c>
      <x:c r="E2" t="str">
        <x:v>Sources/Graft/App/GraftApp.swift AppDelegate, GraftApp.body</x:v>
      </x:c>
    </x:row>
    <x:row r="3" ht="54" customHeight="1">
      <x:c r="A3" t="str">
        <x:v>APP-003</x:v>
      </x:c>
      <x:c r="B3" t="str">
        <x:v>Workspace</x:v>
      </x:c>
      <x:c r="C3" t="str">
        <x:v>macOS app</x:v>
      </x:c>
      <x:c r="D3" t="str">
        <x:v>Sample `.graft/changes` metadata does not become a pending review unless a file change is converted into a review.</x:v>
      </x:c>
      <x:c r="E3" t="str">
        <x:v>Sources/Graft/Stores/WorkspaceStore.swift bootstrap; SampleVault/welcome.md</x:v>
      </x:c>
    </x:row>
    <x:row r="4" ht="54" customHeight="1">
      <x:c r="A4" t="str">
        <x:v>APP-004</x:v>
      </x:c>
      <x:c r="B4" t="str">
        <x:v>Workspace</x:v>
      </x:c>
      <x:c r="C4" t="str">
        <x:v>macOS app</x:v>
      </x:c>
      <x:c r="D4" t="str">
        <x:v>Agent-instructions write failures are ignored.</x:v>
      </x:c>
      <x:c r="E4" t="str">
        <x:v>Sources/Graft/Stores/WorkspaceStore.swift openWorkspacePanel, openWorkspace; Sources/Graft/Services/VersionHistoryStore.swift prepare; Sources/GraftCore/Review/AgentInstructionsWriter.swift writeIfMissing</x:v>
      </x:c>
    </x:row>
    <x:row r="5" ht="54" customHeight="1">
      <x:c r="A5" t="str">
        <x:v>APP-006</x:v>
      </x:c>
      <x:c r="B5" t="str">
        <x:v>Files</x:v>
      </x:c>
      <x:c r="C5" t="str">
        <x:v>macOS app</x:v>
      </x:c>
      <x:c r="D5" t="str">
        <x:v>Dirty file switching saves automatically without prompting.</x:v>
      </x:c>
      <x:c r="E5" t="str">
        <x:v>Sources/Graft/Stores/WorkspaceStore.swift load(file:)</x:v>
      </x:c>
    </x:row>
    <x:row r="6" ht="54" customHeight="1">
      <x:c r="A6" t="str">
        <x:v>APP-007</x:v>
      </x:c>
      <x:c r="B6" t="str">
        <x:v>Editing</x:v>
      </x:c>
      <x:c r="C6" t="str">
        <x:v>macOS app</x:v>
      </x:c>
      <x:c r="D6" t="str">
        <x:v>Save snapshots even when content is unchanged.</x:v>
      </x:c>
      <x:c r="E6" t="str">
        <x:v>Sources/Graft/Stores/WorkspaceStore.swift saveCurrentDocument</x:v>
      </x:c>
    </x:row>
    <x:row r="7" ht="54" customHeight="1">
      <x:c r="A7" t="str">
        <x:v>APP-008</x:v>
      </x:c>
      <x:c r="B7" t="str">
        <x:v>Editing</x:v>
      </x:c>
      <x:c r="C7" t="str">
        <x:v>macOS app</x:v>
      </x:c>
      <x:c r="D7" t="str">
        <x:v>Autosave intentionally does not create a checkpoint.</x:v>
      </x:c>
      <x:c r="E7" t="str">
        <x:v>Sources/Graft/Views/MarkdownEditorView.swift text binding; Sources/Graft/Stores/WorkspaceStore.swift autosaveCurrentDocumentIfNeeded</x:v>
      </x:c>
    </x:row>
    <x:row r="8" ht="54" customHeight="1">
      <x:c r="A8" t="str">
        <x:v>APP-009</x:v>
      </x:c>
      <x:c r="B8" t="str">
        <x:v>Editing</x:v>
      </x:c>
      <x:c r="C8" t="str">
        <x:v>macOS app</x:v>
      </x:c>
      <x:c r="D8" t="str">
        <x:v>Mode is not persisted across launches.</x:v>
      </x:c>
      <x:c r="E8" t="str">
        <x:v>Sources/Graft/Models/EditorMode.swift EditorMode; Sources/Graft/Stores/WorkspaceStore.swift setEditorMode; Sources/Graft/Views/EditorContainerView.swift body</x:v>
      </x:c>
    </x:row>
    <x:row r="9" ht="54" customHeight="1">
      <x:c r="A9" t="str">
        <x:v>APP-010</x:v>
      </x:c>
      <x:c r="B9" t="str">
        <x:v>Editing</x:v>
      </x:c>
      <x:c r="C9" t="str">
        <x:v>macOS app</x:v>
      </x:c>
      <x:c r="D9" t="str">
        <x:v>The coercion is silent.</x:v>
      </x:c>
      <x:c r="E9" t="str">
        <x:v>Sources/Graft/Stores/WorkspaceStore.swift toggleInspector, setEditorMode</x:v>
      </x:c>
    </x:row>
    <x:row r="10" ht="54" customHeight="1">
      <x:c r="A10" t="str">
        <x:v>APP-012</x:v>
      </x:c>
      <x:c r="B10" t="str">
        <x:v>Editing</x:v>
      </x:c>
      <x:c r="C10" t="str">
        <x:v>macOS app</x:v>
      </x:c>
      <x:c r="D10" t="str">
        <x:v>Highlighting is regex-based and not a Markdown AST.</x:v>
      </x:c>
      <x:c r="E10" t="str">
        <x:v>Sources/Graft/Services/MarkdownSyntaxHighlighter.swift attributedString</x:v>
      </x:c>
    </x:row>
    <x:row r="11" ht="54" customHeight="1">
      <x:c r="A11" t="str">
        <x:v>APP-013</x:v>
      </x:c>
      <x:c r="B11" t="str">
        <x:v>Status</x:v>
      </x:c>
      <x:c r="C11" t="str">
        <x:v>macOS app</x:v>
      </x:c>
      <x:c r="D11" t="str">
        <x:v>Word count is a simple whitespace split.</x:v>
      </x:c>
      <x:c r="E11" t="str">
        <x:v>Sources/Graft/Views/ContentView.swift StatusStrip</x:v>
      </x:c>
    </x:row>
    <x:row r="12" ht="54" customHeight="1">
      <x:c r="A12" t="str">
        <x:v>APP-014</x:v>
      </x:c>
      <x:c r="B12" t="str">
        <x:v>Preview</x:v>
      </x:c>
      <x:c r="C12" t="str">
        <x:v>macOS app</x:v>
      </x:c>
      <x:c r="D12" t="str">
        <x:v>Parser is intentionally limited and does not cover all CommonMark edge cases.</x:v>
      </x:c>
      <x:c r="E12" t="str">
        <x:v>Sources/Graft/Services/MarkdownRenderer.swift blocks(from:); Sources/Graft/Views/MarkdownPreviewView.swift blockView</x:v>
      </x:c>
    </x:row>
    <x:row r="13" ht="54" customHeight="1">
      <x:c r="A13" t="str">
        <x:v>APP-016</x:v>
      </x:c>
      <x:c r="B13" t="str">
        <x:v>Images</x:v>
      </x:c>
      <x:c r="C13" t="str">
        <x:v>macOS app</x:v>
      </x:c>
      <x:c r="D13" t="str">
        <x:v>Remote image URLs are not implemented.</x:v>
      </x:c>
      <x:c r="E13" t="str">
        <x:v>Sources/Graft/Views/MarkdownPreviewView.swift imageView, image(for:)</x:v>
      </x:c>
    </x:row>
    <x:row r="14" ht="54" customHeight="1">
      <x:c r="A14" t="str">
        <x:v>APP-017</x:v>
      </x:c>
      <x:c r="B14" t="str">
        <x:v>Images</x:v>
      </x:c>
      <x:c r="C14" t="str">
        <x:v>macOS app</x:v>
      </x:c>
      <x:c r="D14" t="str">
        <x:v>Copied asset persists even if the modified Markdown is never saved.</x:v>
      </x:c>
      <x:c r="E14" t="str">
        <x:v>Sources/Graft/Stores/WorkspaceStore.swift insertImageFromPanel; Sources/Graft/Services/ImageImportService.swift importImage</x:v>
      </x:c>
    </x:row>
    <x:row r="15" ht="54" customHeight="1">
      <x:c r="A15" t="str">
        <x:v>APP-018</x:v>
      </x:c>
      <x:c r="B15" t="str">
        <x:v>External Edits</x:v>
      </x:c>
      <x:c r="C15" t="str">
        <x:v>macOS app</x:v>
      </x:c>
      <x:c r="D15" t="str">
        <x:v>New files are not watched until file list reload updates the watcher.</x:v>
      </x:c>
      <x:c r="E15" t="str">
        <x:v>Sources/Graft/Services/FileWatcher.swift FileWatcher.start, update, markClean; Sources/Graft/Stores/WorkspaceStore.swift openWorkspace watcher.start</x:v>
      </x:c>
    </x:row>
    <x:row r="16" ht="54" customHeight="1">
      <x:c r="A16" t="str">
        <x:v>APP-019</x:v>
      </x:c>
      <x:c r="B16" t="str">
        <x:v>External Edits</x:v>
      </x:c>
      <x:c r="C16" t="str">
        <x:v>macOS app</x:v>
      </x:c>
      <x:c r="D16" t="str">
        <x:v>The ignored edit has no user-visible explanation.</x:v>
      </x:c>
      <x:c r="E16" t="str">
        <x:v>Sources/Graft/App/SettingsView.swift externalChangeDetectionEnabled Toggle; Sources/Graft/Stores/WorkspaceStore.swift handleExternalChange</x:v>
      </x:c>
    </x:row>
    <x:row r="17" ht="54" customHeight="1">
      <x:c r="A17" t="str">
        <x:v>APP-021</x:v>
      </x:c>
      <x:c r="B17" t="str">
        <x:v>External Edits</x:v>
      </x:c>
      <x:c r="C17" t="str">
        <x:v>macOS app</x:v>
      </x:c>
      <x:c r="D17" t="str">
        <x:v>Conflict range meaning depends on diff engine output.</x:v>
      </x:c>
      <x:c r="E17" t="str">
        <x:v>Sources/Graft/Stores/WorkspaceStore.swift handleExternalChange, createReview, restoreTextToDisk</x:v>
      </x:c>
    </x:row>
    <x:row r="18" ht="54" customHeight="1">
      <x:c r="A18" t="str">
        <x:v>APP-024A</x:v>
      </x:c>
      <x:c r="B18" t="str">
        <x:v>Review</x:v>
      </x:c>
      <x:c r="C18" t="str">
        <x:v>macOS app</x:v>
      </x:c>
      <x:c r="D18" t="str">
        <x:v>Banner actions operate on the currently selected review, not necessarily every review related to the banner text.</x:v>
      </x:c>
      <x:c r="E18" t="str">
        <x:v>Sources/Graft/Views/ContentView.swift ExternalChangeBanner; Sources/Graft/Stores/WorkspaceStore.swift accept(ChangeSet), reject(ChangeSet)</x:v>
      </x:c>
    </x:row>
    <x:row r="19" ht="54" customHeight="1">
      <x:c r="A19" t="str">
        <x:v>APP-027</x:v>
      </x:c>
      <x:c r="B19" t="str">
        <x:v>Review</x:v>
      </x:c>
      <x:c r="C19" t="str">
        <x:v>macOS app</x:v>
      </x:c>
      <x:c r="D19" t="str">
        <x:v>After partial acceptance, remaining review keeps the original `proposedText` with updated `baseText`.</x:v>
      </x:c>
      <x:c r="E19" t="str">
        <x:v>Sources/Graft/Stores/WorkspaceStore.swift accept(ChangeRange), reject(ChangeRange), remove</x:v>
      </x:c>
    </x:row>
    <x:row r="20" ht="54" customHeight="1">
      <x:c r="A20" t="str">
        <x:v>APP-030</x:v>
      </x:c>
      <x:c r="B20" t="str">
        <x:v>History</x:v>
      </x:c>
      <x:c r="C20" t="str">
        <x:v>macOS app</x:v>
      </x:c>
      <x:c r="D20" t="str">
        <x:v>Snapshot IDs can theoretically collide within the same millisecond.</x:v>
      </x:c>
      <x:c r="E20" t="str">
        <x:v>Sources/Graft/Services/VersionHistoryStore.swift snapshot, snapshots, restoreContent; Sources/Graft/Views/HistoryView.swift HistoryView.body; Sources/Graft/Stores/WorkspaceStore.swift restore</x:v>
      </x:c>
    </x:row>
    <x:row r="21" ht="54" customHeight="1">
      <x:c r="A21" t="str">
        <x:v>APP-031</x:v>
      </x:c>
      <x:c r="B21" t="str">
        <x:v>Share</x:v>
      </x:c>
      <x:c r="C21" t="str">
        <x:v>macOS app</x:v>
      </x:c>
      <x:c r="D21" t="str">
        <x:v>`Review packet` currently means local checkpoint only; there is no export/send action.</x:v>
      </x:c>
      <x:c r="E21" t="str">
        <x:v>Sources/Graft/Views/ShareView.swift ShareView.body; Sources/Graft/Stores/WorkspaceStore.swift createReviewPacket</x:v>
      </x:c>
    </x:row>
    <x:row r="22" ht="54" customHeight="1">
      <x:c r="A22" t="str">
        <x:v>APP-032</x:v>
      </x:c>
      <x:c r="B22" t="str">
        <x:v>Agents</x:v>
      </x:c>
      <x:c r="C22" t="str">
        <x:v>macOS app</x:v>
      </x:c>
      <x:c r="D22" t="str">
        <x:v>Only the latest activity is retained because `recordAgentActivity` replaces `agents[0]`.</x:v>
      </x:c>
      <x:c r="E22" t="str">
        <x:v>Sources/Graft/Views/InspectorView.swift AgentsPanel; Sources/Graft/Views/SidebarView.swift SidebarActivityRow; Sources/Graft/Stores/WorkspaceStore.swift recordAgentActivity</x:v>
      </x:c>
    </x:row>
    <x:row r="23" ht="54" customHeight="1">
      <x:c r="A23" t="str">
        <x:v>APP-033</x:v>
      </x:c>
      <x:c r="B23" t="str">
        <x:v>Settings</x:v>
      </x:c>
      <x:c r="C23" t="str">
        <x:v>macOS app</x:v>
      </x:c>
      <x:c r="D23" t="str">
        <x:v>Settings are not persisted across app launches.</x:v>
      </x:c>
      <x:c r="E23" t="str">
        <x:v>Sources/Graft/App/SettingsView.swift SettingsView.body; Sources/Graft/Views/MarkdownEditorView.swift MarkdownTextView font binding</x:v>
      </x:c>
    </x:row>
    <x:row r="24" ht="54" customHeight="1">
      <x:c r="A24" t="str">
        <x:v>APP-034</x:v>
      </x:c>
      <x:c r="B24" t="str">
        <x:v>Commands</x:v>
      </x:c>
      <x:c r="C24" t="str">
        <x:v>macOS app</x:v>
      </x:c>
      <x:c r="D24" t="str">
        <x:v>Commands are not disabled when no file/workspace is selected; store guards make some no-ops silent.</x:v>
      </x:c>
      <x:c r="E24" t="str">
        <x:v>Sources/Graft/App/GraftCommands.swift GraftCommands.body; Sources/Graft/Views/ContentView.swift toolbar</x:v>
      </x:c>
    </x:row>
    <x:row r="25" ht="54" customHeight="1">
      <x:c r="A25" t="str">
        <x:v>APP-035</x:v>
      </x:c>
      <x:c r="B25" t="str">
        <x:v>Hidden Collaboration</x:v>
      </x:c>
      <x:c r="C25" t="str">
        <x:v>macOS app</x:v>
      </x:c>
      <x:c r="D25" t="str">
        <x:v>No visible invite UI uses these methods; product decision needed before treating as shipped user-facing behavior.</x:v>
      </x:c>
      <x:c r="E25" t="str">
        <x:v>Sources/Graft/Stores/WorkspaceStore.swift addInvite, removeInvite, composeEmail, loadInviteManifest, writeInviteManifest</x:v>
      </x:c>
    </x:row>
    <x:row r="26" ht="54" customHeight="1">
      <x:c r="A26" t="str">
        <x:v>APP-036</x:v>
      </x:c>
      <x:c r="B26" t="str">
        <x:v>Hidden External Edits</x:v>
      </x:c>
      <x:c r="C26" t="str">
        <x:v>macOS app</x:v>
      </x:c>
      <x:c r="D26" t="str">
        <x:v>These appear to be legacy or planned actions; product decision needed before testing as user-facing behavior.</x:v>
      </x:c>
      <x:c r="E26" t="str">
        <x:v>Sources/Graft/Stores/WorkspaceStore.swift reloadSelectedFromDisk, keepLocalVersion</x:v>
      </x:c>
    </x:row>
    <x:row r="27" ht="54" customHeight="1">
      <x:c r="A27" t="str">
        <x:v>CORE-001</x:v>
      </x:c>
      <x:c r="B27" t="str">
        <x:v>Core Review</x:v>
      </x:c>
      <x:c r="C27" t="str">
        <x:v>GraftCore</x:v>
      </x:c>
      <x:c r="D27" t="str">
        <x:v>No validation of line ranges, status transitions, or empty payloads.</x:v>
      </x:c>
      <x:c r="E27" t="str">
        <x:v>Sources/GraftCore/Review/ChangeSet.swift ChangeSet, ChangeRange; Tests/GraftCoreTests/ChangeSetTests.swift</x:v>
      </x:c>
    </x:row>
    <x:row r="28" ht="54" customHeight="1">
      <x:c r="A28" t="str">
        <x:v>CORE-002</x:v>
      </x:c>
      <x:c r="B28" t="str">
        <x:v>Core Review</x:v>
      </x:c>
      <x:c r="C28" t="str">
        <x:v>GraftCore</x:v>
      </x:c>
      <x:c r="D28" t="str">
        <x:v>Not a full Markdown AST; adjacent changed blocks are paired by index.</x:v>
      </x:c>
      <x:c r="E28" t="str">
        <x:v>Sources/GraftCore/Review/MarkdownDiffEngine.swift changedRanges; Tests/GraftCoreTests/MarkdownDiffEngineTests.swift</x:v>
      </x:c>
    </x:row>
    <x:row r="29" ht="54" customHeight="1">
      <x:c r="A29" t="str">
        <x:v>CORE-003</x:v>
      </x:c>
      <x:c r="B29" t="str">
        <x:v>Core Review</x:v>
      </x:c>
      <x:c r="C29" t="str">
        <x:v>GraftCore</x:v>
      </x:c>
      <x:c r="D29" t="str">
        <x:v>Insertions are not context-validated; duplicate matches are stale.</x:v>
      </x:c>
      <x:c r="E29" t="str">
        <x:v>Sources/GraftCore/Review/MarkdownPatchEngine.swift apply; Tests/GraftCoreTests/MarkdownPatchEngineTests.swift</x:v>
      </x:c>
    </x:row>
    <x:row r="30" ht="54" customHeight="1">
      <x:c r="A30" t="str">
        <x:v>CORE-004</x:v>
      </x:c>
      <x:c r="B30" t="str">
        <x:v>Persistence</x:v>
      </x:c>
      <x:c r="C30" t="str">
        <x:v>GraftCore</x:v>
      </x:c>
      <x:c r="D30" t="str">
        <x:v>Corrupt JSON makes load throw; no locking or schema version.</x:v>
      </x:c>
      <x:c r="E30" t="str">
        <x:v>Sources/GraftCore/Review/ChangeSetStore.swift write, loadAll, load, delete, deleteMatching; Tests/GraftCoreTests/ChangeSetStoreTests.swift</x:v>
      </x:c>
    </x:row>
    <x:row r="31" ht="54" customHeight="1">
      <x:c r="A31" t="str">
        <x:v>CORE-005</x:v>
      </x:c>
      <x:c r="B31" t="str">
        <x:v>Persistence</x:v>
      </x:c>
      <x:c r="C31" t="str">
        <x:v>GraftCore</x:v>
      </x:c>
      <x:c r="D31" t="str">
        <x:v>`Latest` depends on filename sort and only lowercase `.json` is included.</x:v>
      </x:c>
      <x:c r="E31" t="str">
        <x:v>Sources/GraftCore/Review/ChangeMetadataStore.swift metadata, fallbackMetadata; Tests/GraftCoreTests/ChangeMetadataStoreTests.swift</x:v>
      </x:c>
    </x:row>
    <x:row r="32" ht="54" customHeight="1">
      <x:c r="A32" t="str">
        <x:v>CORE-006</x:v>
      </x:c>
      <x:c r="B32" t="str">
        <x:v>Agent Contract</x:v>
      </x:c>
      <x:c r="C32" t="str">
        <x:v>GraftCore</x:v>
      </x:c>
      <x:c r="D32" t="str">
        <x:v>`write()` always overwrites and content is not configurable.</x:v>
      </x:c>
      <x:c r="E32" t="str">
        <x:v>Sources/GraftCore/Review/AgentInstructionsWriter.swift write, writeIfMissing; Tests/GraftCoreTests/AgentInstructionsWriterTests.swift</x:v>
      </x:c>
    </x:row>
    <x:row r="33" ht="54" customHeight="1">
      <x:c r="A33" t="str">
        <x:v>CLI-001</x:v>
      </x:c>
      <x:c r="B33" t="str">
        <x:v>CLI</x:v>
      </x:c>
      <x:c r="C33" t="str">
        <x:v>graft-cli</x:v>
      </x:c>
      <x:c r="D33" t="str">
        <x:v>Missing vault reports zero files; command does not inspect `.graft/reviews`; no explicit exit codes.</x:v>
      </x:c>
      <x:c r="E33" t="str">
        <x:v>Sources/GraftCLI/main.swift status, markdownFiles, changeMetadataFiles</x:v>
      </x:c>
    </x:row>
    <x:row r="34" ht="54" customHeight="1">
      <x:c r="A34" t="str">
        <x:v>CLI-002</x:v>
      </x:c>
      <x:c r="B34" t="str">
        <x:v>CLI</x:v>
      </x:c>
      <x:c r="C34" t="str">
        <x:v>graft-cli</x:v>
      </x:c>
      <x:c r="D34" t="str">
        <x:v>Relative path traversal is not guarded; front matter escaping is undefined.</x:v>
      </x:c>
      <x:c r="E34" t="str">
        <x:v>Sources/GraftCLI/main.swift submitChange, writeChangeMetadata, writeSnapshot</x:v>
      </x:c>
    </x:row>
    <x:row r="35" ht="54" customHeight="1">
      <x:c r="A35" t="str">
        <x:v>CLI-003</x:v>
      </x:c>
      <x:c r="B35" t="str">
        <x:v>CLI</x:v>
      </x:c>
      <x:c r="C35" t="str">
        <x:v>graft-cli</x:v>
      </x:c>
      <x:c r="D35" t="str">
        <x:v>Errors print to stdout and do not set explicit failure status.</x:v>
      </x:c>
      <x:c r="E35" t="str">
        <x:v>Sources/GraftCLI/main.swift snapshot, writeSnapshot</x:v>
      </x:c>
    </x:row>
    <x:row r="36" ht="54" customHeight="1">
      <x:c r="A36" t="str">
        <x:v>CLI-004</x:v>
      </x:c>
      <x:c r="B36" t="str">
        <x:v>CLI</x:v>
      </x:c>
      <x:c r="C36" t="str">
        <x:v>graft-cli</x:v>
      </x:c>
      <x:c r="D36" t="str">
        <x:v>`apply` name may still imply mutation despite the note.</x:v>
      </x:c>
      <x:c r="E36" t="str">
        <x:v>Sources/GraftCLI/main.swift apply</x:v>
      </x:c>
    </x:row>
    <x:row r="37" ht="54" customHeight="1">
      <x:c r="A37" t="str">
        <x:v>CLI-005</x:v>
      </x:c>
      <x:c r="B37" t="str">
        <x:v>CLI</x:v>
      </x:c>
      <x:c r="C37" t="str">
        <x:v>graft-cli</x:v>
      </x:c>
      <x:c r="D37" t="str">
        <x:v>Only IDs are printed, not summaries/authors; invalid metadata is skipped silently.</x:v>
      </x:c>
      <x:c r="E37" t="str">
        <x:v>Sources/GraftCLI/main.swift history, changeMetadataFiles</x:v>
      </x:c>
    </x:row>
    <x:row r="38" ht="54" customHeight="1">
      <x:c r="A38" t="str">
        <x:v>BUILD-001</x:v>
      </x:c>
      <x:c r="B38" t="str">
        <x:v>Build</x:v>
      </x:c>
      <x:c r="C38" t="str">
        <x:v>Swift package</x:v>
      </x:c>
      <x:c r="D38" t="str">
        <x:v>`GraftCoreTests` remains an XCTest target for full-Xcode environments; this local CLT toolchain cannot import XCTest.</x:v>
      </x:c>
      <x:c r="E38" t="str">
        <x:v>Package.swift package products and targets</x:v>
      </x:c>
    </x:row>
    <x:row r="39" ht="54" customHeight="1">
      <x:c r="A39" t="str">
        <x:v>BUILD-002</x:v>
      </x:c>
      <x:c r="B39" t="str">
        <x:v>Build</x:v>
      </x:c>
      <x:c r="C39" t="str">
        <x:v>script</x:v>
      </x:c>
      <x:c r="D39" t="str">
        <x:v>Verify only proves the process exists; the generated app is not signed for distribution.</x:v>
      </x:c>
      <x:c r="E39" t="str">
        <x:v>script/build_and_run.sh mode handling and bundle staging</x:v>
      </x:c>
    </x:row>
    <x:row r="40" ht="54" customHeight="1">
      <x:c r="A40" t="str">
        <x:v>BUILD-003</x:v>
      </x:c>
      <x:c r="B40" t="str">
        <x:v>Packaging</x:v>
      </x:c>
      <x:c r="C40" t="str">
        <x:v>script</x:v>
      </x:c>
      <x:c r="D40" t="str">
        <x:v>Packaging launches the GUI and does not sign/notarize.</x:v>
      </x:c>
      <x:c r="E40" t="str">
        <x:v>script/package_release.sh package flow</x:v>
      </x:c>
    </x:row>
    <x:row r="41" ht="54" customHeight="1">
      <x:c r="A41" t="str">
        <x:v>BUILD-004</x:v>
      </x:c>
      <x:c r="B41" t="str">
        <x:v>Build</x:v>
      </x:c>
      <x:c r="C41" t="str">
        <x:v>Swift package</x:v>
      </x:c>
      <x:c r="D41" t="str">
        <x:v>The harness is not XCTest and must be kept in sync with `Tests/GraftCoreTests` until a full Xcode/XCTest runner is available.</x:v>
      </x:c>
      <x:c r="E41" t="str">
        <x:v>Package.swift GraftBehaviorHarness target; Sources/GraftBehaviorHarness/main.swift</x:v>
      </x:c>
    </x:row>
    <x:row r="42" ht="54" customHeight="1">
      <x:c r="A42" t="str">
        <x:v>WEB-001</x:v>
      </x:c>
      <x:c r="B42" t="str">
        <x:v>Page Shell</x:v>
      </x:c>
      <x:c r="C42" t="str">
        <x:v>landing page</x:v>
      </x:c>
      <x:c r="D42" t="str">
        <x:v>No Open Graph/Twitter metadata is defined; Google Fonts is an external dependency.</x:v>
      </x:c>
      <x:c r="E42" t="str">
        <x:v>landing page/index.html metadata/root/script; landing page/src/main.jsx createRoot render</x:v>
      </x:c>
    </x:row>
    <x:row r="43" ht="54" customHeight="1">
      <x:c r="A43" t="str">
        <x:v>WEB-002</x:v>
      </x:c>
      <x:c r="B43" t="str">
        <x:v>Build</x:v>
      </x:c>
      <x:c r="C43" t="str">
        <x:v>landing page</x:v>
      </x:c>
      <x:c r="D43" t="str">
        <x:v>QA scripts are not wired into npm scripts.</x:v>
      </x:c>
      <x:c r="E43" t="str">
        <x:v>landing page/package.json scripts and dependencies</x:v>
      </x:c>
    </x:row>
    <x:row r="44" ht="54" customHeight="1">
      <x:c r="A44" t="str">
        <x:v>WEB-003</x:v>
      </x:c>
      <x:c r="B44" t="str">
        <x:v>Navigation</x:v>
      </x:c>
      <x:c r="C44" t="str">
        <x:v>landing page</x:v>
      </x:c>
      <x:c r="D44" t="str">
        <x:v>Only waitlist is visibly linked; malformed hashes may throw through `querySelector`.</x:v>
      </x:c>
      <x:c r="E44" t="str">
        <x:v>landing page/src/App.jsx scrollToHash, Nav; landing page/src/styles.css .masthead</x:v>
      </x:c>
    </x:row>
    <x:row r="45" ht="54" customHeight="1">
      <x:c r="A45" t="str">
        <x:v>WEB-004</x:v>
      </x:c>
      <x:c r="B45" t="str">
        <x:v>Navigation</x:v>
      </x:c>
      <x:c r="C45" t="str">
        <x:v>landing page</x:v>
      </x:c>
      <x:c r="D45" t="str">
        <x:v>Invalid selector hashes are not caught.</x:v>
      </x:c>
      <x:c r="E45" t="str">
        <x:v>landing page/src/App.jsx App.useEffect alignHash; landing page/src/SmoothScrollProvider.jsx scrollToTarget</x:v>
      </x:c>
    </x:row>
    <x:row r="46" ht="54" customHeight="1">
      <x:c r="A46" t="str">
        <x:v>WEB-005</x:v>
      </x:c>
      <x:c r="B46" t="str">
        <x:v>Hero</x:v>
      </x:c>
      <x:c r="C46" t="str">
        <x:v>landing page</x:v>
      </x:c>
      <x:c r="D46" t="str">
        <x:v>Terminal stream is illustrative preview output, not verified CLI behavior.</x:v>
      </x:c>
      <x:c r="E46" t="str">
        <x:v>landing page/src/App.jsx heroStream, Hero</x:v>
      </x:c>
    </x:row>
    <x:row r="47" ht="54" customHeight="1">
      <x:c r="A47" t="str">
        <x:v>WEB-006</x:v>
      </x:c>
      <x:c r="B47" t="str">
        <x:v>Problem</x:v>
      </x:c>
      <x:c r="C47" t="str">
        <x:v>landing page</x:v>
      </x:c>
      <x:c r="D47" t="str">
        <x:v>No visible nav route except direct hash.</x:v>
      </x:c>
      <x:c r="E47" t="str">
        <x:v>landing page/src/App.jsx problemStream, Problem</x:v>
      </x:c>
    </x:row>
    <x:row r="48" ht="54" customHeight="1">
      <x:c r="A48" t="str">
        <x:v>WEB-007</x:v>
      </x:c>
      <x:c r="B48" t="str">
        <x:v>Workflow</x:v>
      </x:c>
      <x:c r="C48" t="str">
        <x:v>landing page</x:v>
      </x:c>
      <x:c r="D48" t="str">
        <x:v>JS toggles `.is-active`, but no CSS rule currently styles `.workflow-stage.is-active`.</x:v>
      </x:c>
      <x:c r="E48" t="str">
        <x:v>landing page/src/App.jsx workflowStages, Workflow; landing page/src/useGraftMotion.js workflow animation</x:v>
      </x:c>
    </x:row>
    <x:row r="49" ht="54" customHeight="1">
      <x:c r="A49" t="str">
        <x:v>WEB-008</x:v>
      </x:c>
      <x:c r="B49" t="str">
        <x:v>Plain Files</x:v>
      </x:c>
      <x:c r="C49" t="str">
        <x:v>landing page</x:v>
      </x:c>
      <x:c r="D49" t="str">
        <x:v>File paths are product-proof copy, not live data.</x:v>
      </x:c>
      <x:c r="E49" t="str">
        <x:v>landing page/src/App.jsx fileRows, PlainFiles</x:v>
      </x:c>
    </x:row>
    <x:row r="50" ht="54" customHeight="1">
      <x:c r="A50" t="str">
        <x:v>WEB-009</x:v>
      </x:c>
      <x:c r="B50" t="str">
        <x:v>Waitlist</x:v>
      </x:c>
      <x:c r="C50" t="str">
        <x:v>landing page</x:v>
      </x:c>
      <x:c r="D50" t="str">
        <x:v>Success is simulated client-only; no network request or persistence exists.</x:v>
      </x:c>
      <x:c r="E50" t="str">
        <x:v>landing page/src/App.jsx waitlist state, handleSubmit, WaitlistForm; landing page/qa/responsive.spec.js waitlist test</x:v>
      </x:c>
    </x:row>
    <x:row r="51" ht="54" customHeight="1">
      <x:c r="A51" t="str">
        <x:v>WEB-010</x:v>
      </x:c>
      <x:c r="B51" t="str">
        <x:v>Waitlist</x:v>
      </x:c>
      <x:c r="C51" t="str">
        <x:v>landing page</x:v>
      </x:c>
      <x:c r="D51" t="str">
        <x:v>Leading/trailing whitespace is not trimmed before validation.</x:v>
      </x:c>
      <x:c r="E51" t="str">
        <x:v>landing page/src/App.jsx emailState useMemo, handleEmailChange, WaitlistForm helperText</x:v>
      </x:c>
    </x:row>
    <x:row r="52" ht="54" customHeight="1">
      <x:c r="A52" t="str">
        <x:v>WEB-011</x:v>
      </x:c>
      <x:c r="B52" t="str">
        <x:v>Motion</x:v>
      </x:c>
      <x:c r="C52" t="str">
        <x:v>landing page</x:v>
      </x:c>
      <x:c r="D52" t="str">
        <x:v>Fallback `scrollIntoView` ignores the offset option.</x:v>
      </x:c>
      <x:c r="E52" t="str">
        <x:v>landing page/src/SmoothScrollProvider.jsx scrollToTarget, SmoothScrollProvider</x:v>
      </x:c>
    </x:row>
    <x:row r="53" ht="54" customHeight="1">
      <x:c r="A53" t="str">
        <x:v>WEB-013</x:v>
      </x:c>
      <x:c r="B53" t="str">
        <x:v>Responsive</x:v>
      </x:c>
      <x:c r="C53" t="str">
        <x:v>landing page</x:v>
      </x:c>
      <x:c r="D53" t="str">
        <x:v>`overflow-x: clip` can hide layout mistakes instead of surfacing them through scroll width alone.</x:v>
      </x:c>
      <x:c r="E53" t="str">
        <x:v>landing page/src/styles.css html/body, 60rem media, 40rem media; landing page/qa/responsive.spec.js viewports, target-size checks</x:v>
      </x:c>
    </x:row>
    <x:row r="54" ht="54" customHeight="1">
      <x:c r="A54" t="str">
        <x:v>WEB-014</x:v>
      </x:c>
      <x:c r="B54" t="str">
        <x:v>Footer</x:v>
      </x:c>
      <x:c r="C54" t="str">
        <x:v>landing page</x:v>
      </x:c>
      <x:c r="D54" t="str">
        <x:v>No legal, social, or contact links are present.</x:v>
      </x:c>
      <x:c r="E54" t="str">
        <x:v>landing page/src/App.jsx Footer; landing page/src/styles.css .colophon</x:v>
      </x:c>
    </x:row>
    <x:row r="55" ht="54" customHeight="1">
      <x:c r="A55" t="str">
        <x:v>WEB-015</x:v>
      </x:c>
      <x:c r="B55" t="str">
        <x:v>Assets</x:v>
      </x:c>
      <x:c r="C55" t="str">
        <x:v>landing page</x:v>
      </x:c>
      <x:c r="D55" t="str">
        <x:v>Are unused PNG assets and dormant WebGL canvas intentional leftovers or missing live visual behavior?</x:v>
      </x:c>
      <x:c r="E55" t="str">
        <x:v>landing page/index.html favicon; landing page/src/CinematicCanvas.jsx CinematicCanvas; landing page/src/main.jsx App import; landing page/src/App.jsx imports</x:v>
      </x:c>
    </x:row>
    <x:row r="56" ht="54" customHeight="1">
      <x:c r="A56" t="str">
        <x:v>WEB-016</x:v>
      </x:c>
      <x:c r="B56" t="str">
        <x:v>QA</x:v>
      </x:c>
      <x:c r="C56" t="str">
        <x:v>landing page</x:v>
      </x:c>
      <x:c r="D56" t="str">
        <x:v>`visual-qa.mjs` checks `.hero h2`, `.scene--hero h2`, `.paper-register`, and about 6 scenes, while current page uses `h1`, `.hero-split`, and 5 scenes.</x:v>
      </x:c>
      <x:c r="E56" t="str">
        <x:v>landing page/qa/responsive.spec.js; landing page/screenshot-qa.mjs; landing page/visual-qa.mjs</x:v>
      </x:c>
    </x:row>
    <x:row r="57" ht="54" customHeight="1">
      <x:c r="A57" t="str">
        <x:v>QA-001</x:v>
      </x:c>
      <x:c r="B57" t="str">
        <x:v>QA</x:v>
      </x:c>
      <x:c r="C57" t="str">
        <x:v>repo QA</x:v>
      </x:c>
      <x:c r="D57" t="str">
        <x:v>Should this historical generator remain in the repo now that this goal has a new canonical workbook?</x:v>
      </x:c>
      <x:c r="E57" t="str">
        <x:v>qa/graft_feature_tracker.mjs main, features array, issues array</x:v>
      </x:c>
    </x:row>
  </x:sheetData>
  <x:pageMargins left="0.7" right="0.7" top="0.75" bottom="0.75" header="0.3" footer="0.3"/>
  <x:tableParts count="1">
    <x:tablePart xmlns:r="http://schemas.openxmlformats.org/officeDocument/2006/relationships" r:id="R357cc52f70f14433"/>
  </x:tableParts>
</x:worksheet>
</file>