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578abffbe042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ee44032f4df4ba5"/>
    <x:sheet xmlns:r="http://schemas.openxmlformats.org/officeDocument/2006/relationships" name="Stories" sheetId="2" r:id="R4686bb34a74c4077"/>
    <x:sheet xmlns:r="http://schemas.openxmlformats.org/officeDocument/2006/relationships" name="Issues" sheetId="3" r:id="Rf2aaa220d7a14014"/>
    <x:sheet xmlns:r="http://schemas.openxmlformats.org/officeDocument/2006/relationships" name="Runs" sheetId="4" r:id="R50686629d766473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4">
    <x:font>
      <x:sz val="11"/>
      <x:name val="Carlito"/>
    </x:font>
    <x:font>
      <x:b/>
      <x:sz val="16"/>
      <x:color rgb="FF1A3300"/>
      <x:name val="Carlito"/>
    </x:font>
    <x:font>
      <x:sz val="11"/>
      <x:color rgb="FF1A3300"/>
      <x:name val="Carlito"/>
    </x:font>
    <x:font>
      <x:b/>
      <x:sz val="11"/>
      <x:color rgb="FFFCFAF5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FFE95C"/>
      </x:patternFill>
    </x:fill>
    <x:fill>
      <x:patternFill patternType="solid">
        <x:fgColor rgb="FFFCFAF5"/>
      </x:patternFill>
    </x:fill>
    <x:fill>
      <x:patternFill patternType="solid">
        <x:fgColor rgb="FF1A3300"/>
      </x:patternFill>
    </x:fill>
  </x:fills>
  <x:borders count="9">
    <x:border/>
    <x:border>
      <x:left style="thin">
        <x:color rgb="FFB6B6B6"/>
      </x:left>
      <x:top style="thin">
        <x:color rgb="FFB6B6B6"/>
      </x:top>
    </x:border>
    <x:border>
      <x:top style="thin">
        <x:color rgb="FFB6B6B6"/>
      </x:top>
    </x:border>
    <x:border>
      <x:right style="thin">
        <x:color rgb="FFB6B6B6"/>
      </x:right>
      <x:top style="thin">
        <x:color rgb="FFB6B6B6"/>
      </x:top>
    </x:border>
    <x:border>
      <x:left style="thin">
        <x:color rgb="FFB6B6B6"/>
      </x:left>
    </x:border>
    <x:border>
      <x:right style="thin">
        <x:color rgb="FFB6B6B6"/>
      </x:right>
    </x:border>
    <x:border>
      <x:left style="thin">
        <x:color rgb="FFB6B6B6"/>
      </x:left>
      <x:bottom style="thin">
        <x:color rgb="FFB6B6B6"/>
      </x:bottom>
    </x:border>
    <x:border>
      <x:bottom style="thin">
        <x:color rgb="FFB6B6B6"/>
      </x:bottom>
    </x:border>
    <x:border>
      <x:right style="thin">
        <x:color rgb="FFB6B6B6"/>
      </x:right>
      <x:bottom style="thin">
        <x:color rgb="FFB6B6B6"/>
      </x:bottom>
    </x:border>
  </x:borders>
  <x:cellStyleXfs count="1">
    <x:xf numFmtId="0" fontId="0" fillId="0" borderId="0"/>
  </x:cellStyleXfs>
  <x:cellXfs count="4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0" fontId="0" fillId="0" borderId="0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3" borderId="4" xfId="0" applyNumberFormat="1" applyFont="1" applyFill="1" applyBorder="1"/>
    <x:xf numFmtId="0" fontId="0" fillId="3" borderId="5" xfId="0" applyNumberFormat="1" applyFont="1" applyFill="1" applyBorder="1"/>
    <x:xf numFmtId="0" fontId="0" fillId="3" borderId="6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2" fillId="3" borderId="4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0" fontId="2" fillId="3" borderId="7" xfId="0" applyNumberFormat="1" applyFont="1" applyFill="1" applyBorder="1"/>
    <x:xf numFmtId="0" fontId="2" fillId="3" borderId="8" xfId="0" applyNumberFormat="1" applyFont="1" applyFill="1" applyBorder="1"/>
    <x:xf numFmtId="0" fontId="2" fillId="3" borderId="4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wrapText="1"/>
    </x:xf>
    <x:xf numFmtId="0" fontId="2" fillId="3" borderId="6" xfId="0" applyNumberFormat="1" applyFont="1" applyFill="1" applyBorder="1" applyAlignment="1">
      <x:alignment wrapText="1"/>
    </x:xf>
    <x:xf numFmtId="0" fontId="2" fillId="3" borderId="7" xfId="0" applyNumberFormat="1" applyFont="1" applyFill="1" applyBorder="1" applyAlignment="1">
      <x:alignment wrapText="1"/>
    </x:xf>
    <x:xf numFmtId="0" fontId="2" fillId="3" borderId="8" xfId="0" applyNumberFormat="1" applyFont="1" applyFill="1" applyBorder="1" applyAlignment="1">
      <x:alignment wrapText="1"/>
    </x:xf>
    <x:xf numFmtId="200" fontId="2" fillId="3" borderId="0" xfId="0" applyNumberFormat="1" applyFont="1" applyFill="1" applyBorder="1" applyAlignment="1">
      <x:alignment wrapText="1"/>
    </x:xf>
    <x:xf numFmtId="200" fontId="2" fillId="3" borderId="7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33f8200ace4b15" /><Relationship Type="http://schemas.openxmlformats.org/officeDocument/2006/relationships/theme" Target="/xl/theme/theme1.xml" Id="R7b1b522d619d42a0" /><Relationship Type="http://schemas.openxmlformats.org/officeDocument/2006/relationships/sharedStrings" Target="/xl/sharedStrings.xml" Id="Rf683106e58db4edc" /><Relationship Type="http://schemas.openxmlformats.org/officeDocument/2006/relationships/worksheet" Target="/xl/worksheets/sheet1.xml" Id="R7ee44032f4df4ba5" /><Relationship Type="http://schemas.openxmlformats.org/officeDocument/2006/relationships/worksheet" Target="/xl/worksheets/sheet2.xml" Id="R4686bb34a74c4077" /><Relationship Type="http://schemas.openxmlformats.org/officeDocument/2006/relationships/worksheet" Target="/xl/worksheets/sheet3.xml" Id="Rf2aaa220d7a14014" /><Relationship Type="http://schemas.openxmlformats.org/officeDocument/2006/relationships/worksheet" Target="/xl/worksheets/sheet4.xml" Id="R50686629d766473f" /></Relationships>
</file>

<file path=xl/tables/table1.xml><?xml version="1.0" encoding="utf-8"?>
<x:table xmlns:x="http://schemas.openxmlformats.org/spreadsheetml/2006/main" id="1" name="StoriesTable" displayName="StoriesTable" ref="A1:L70" headerRowCount="1" totalsRowCount="0" totalsRowShown="0">
  <x:tableColumns count="12">
    <x:tableColumn id="1" name="ID"/>
    <x:tableColumn id="2" name="Surface"/>
    <x:tableColumn id="3" name="Feature"/>
    <x:tableColumn id="4" name="User Story"/>
    <x:tableColumn id="5" name="Expected Behavior From Code"/>
    <x:tableColumn id="6" name="Code Evidence"/>
    <x:tableColumn id="7" name="Test Method"/>
    <x:tableColumn id="8" name="Priority"/>
    <x:tableColumn id="9" name="Status"/>
    <x:tableColumn id="10" name="Issue ID"/>
    <x:tableColumn id="11" name="Retest Status"/>
    <x:tableColumn id="12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IssuesTable" displayName="IssuesTable" ref="A1:J15" headerRowCount="1" totalsRowCount="0" totalsRowShown="0">
  <x:tableColumns count="10">
    <x:tableColumn id="1" name="Issue ID"/>
    <x:tableColumn id="2" name="Surface"/>
    <x:tableColumn id="3" name="Title"/>
    <x:tableColumn id="4" name="Observed / Risk"/>
    <x:tableColumn id="5" name="Priority"/>
    <x:tableColumn id="6" name="Status"/>
    <x:tableColumn id="7" name="Found In"/>
    <x:tableColumn id="8" name="Related Stories"/>
    <x:tableColumn id="9" name="Likely Files"/>
    <x:tableColumn id="10" name="Fix 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unsTable" displayName="RunsTable" ref="A1:F9" headerRowCount="1" totalsRowCount="0" totalsRowShown="0">
  <x:tableColumns count="6">
    <x:tableColumn id="1" name="Date"/>
    <x:tableColumn id="2" name="Phase"/>
    <x:tableColumn id="3" name="Check"/>
    <x:tableColumn id="4" name="Result"/>
    <x:tableColumn id="5" name="Notes"/>
    <x:tableColumn id="6" name="Eviden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e1dbe555f154db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d7a33a68f9a400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551038a40e8498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4" hidden="0" customWidth="1"/>
    <x:col min="3" max="3" width="58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>
      <x:c r="A1" s="4" t="str">
        <x:v>Pagepacket Feature and QA Status</x:v>
      </x:c>
      <x:c r="B1" s="4"/>
      <x:c r="C1" s="4"/>
      <x:c r="D1" s="4"/>
      <x:c r="E1" s="4"/>
      <x:c r="F1" s="4"/>
      <x:c r="G1" s="4"/>
      <x:c r="H1" s="4"/>
    </x:row>
    <x:row r="2">
      <x:c r="A2" s="7" t="str">
        <x:v>Canonical tracker seeded from the current code checkout. Update this workbook as the user-story test/fix/retest loop progresses.</x:v>
      </x:c>
      <x:c r="B2" s="7"/>
      <x:c r="C2" s="7"/>
      <x:c r="D2" s="7"/>
      <x:c r="E2" s="7"/>
      <x:c r="F2" s="7"/>
      <x:c r="G2" s="7"/>
      <x:c r="H2" s="7"/>
    </x:row>
    <x:row r="4">
      <x:c r="A4" s="13" t="str">
        <x:v>Metric</x:v>
      </x:c>
      <x:c r="B4" s="14" t="str">
        <x:v>Value</x:v>
      </x:c>
      <x:c r="C4" s="15" t="str">
        <x:v>Formula / Source</x:v>
      </x:c>
    </x:row>
    <x:row r="5">
      <x:c r="A5" s="32" t="str">
        <x:v>Total stories</x:v>
      </x:c>
      <x:c r="B5" s="37" t="n">
        <x:f>COUNTA('Stories'!$A$2:$A$200)</x:f>
        <x:v>69</x:v>
      </x:c>
      <x:c r="C5" s="33" t="n">
        <x:f>COUNTA('Stories'!$A$2:$A$200)</x:f>
        <x:v>69</x:v>
      </x:c>
    </x:row>
    <x:row r="6">
      <x:c r="A6" s="32" t="str">
        <x:v>Untested</x:v>
      </x:c>
      <x:c r="B6" s="37" t="n">
        <x:f>COUNTIF('Stories'!$I$2:$I$200,"Untested")</x:f>
        <x:v>0</x:v>
      </x:c>
      <x:c r="C6" s="33" t="n">
        <x:f>COUNTIF('Stories'!$I$2:$I$200,"Untested")</x:f>
        <x:v>0</x:v>
      </x:c>
    </x:row>
    <x:row r="7">
      <x:c r="A7" s="32" t="str">
        <x:v>Needs fix</x:v>
      </x:c>
      <x:c r="B7" s="37" t="n">
        <x:f>COUNTIF('Stories'!$I$2:$I$200,"Needs Fix")</x:f>
        <x:v>2</x:v>
      </x:c>
      <x:c r="C7" s="33" t="n">
        <x:f>COUNTIF('Stories'!$I$2:$I$200,"Needs Fix")</x:f>
        <x:v>2</x:v>
      </x:c>
    </x:row>
    <x:row r="8">
      <x:c r="A8" s="32" t="str">
        <x:v>Passed</x:v>
      </x:c>
      <x:c r="B8" s="37" t="n">
        <x:f>COUNTIF('Stories'!$I$2:$I$200,"Pass")+COUNTIF('Stories'!$I$2:$I$200,"Retest Pass")</x:f>
        <x:v>67</x:v>
      </x:c>
      <x:c r="C8" s="33" t="n">
        <x:f>COUNTIF('Stories'!$I$2:$I$200,"Pass")+COUNTIF('Stories'!$I$2:$I$200,"Retest Pass")</x:f>
        <x:v>67</x:v>
      </x:c>
    </x:row>
    <x:row r="9">
      <x:c r="A9" s="32" t="str">
        <x:v>Failed or blocked</x:v>
      </x:c>
      <x:c r="B9" s="37" t="n">
        <x:f>COUNTIF('Stories'!$I$2:$I$200,"Fail")+COUNTIF('Stories'!$I$2:$I$200,"Blocked")+COUNTIF('Stories'!$I$2:$I$200,"Retest Fail")</x:f>
        <x:v>0</x:v>
      </x:c>
      <x:c r="C9" s="33" t="n">
        <x:f>COUNTIF('Stories'!$I$2:$I$200,"Fail")+COUNTIF('Stories'!$I$2:$I$200,"Blocked")+COUNTIF('Stories'!$I$2:$I$200,"Retest Fail")</x:f>
        <x:v>0</x:v>
      </x:c>
    </x:row>
    <x:row r="10">
      <x:c r="A10" s="32" t="str">
        <x:v>Open issues</x:v>
      </x:c>
      <x:c r="B10" s="37" t="n">
        <x:f>COUNTIF('Issues'!$F$2:$F$100,"Open")</x:f>
        <x:v>1</x:v>
      </x:c>
      <x:c r="C10" s="33" t="n">
        <x:f>COUNTIF('Issues'!$F$2:$F$100,"Open")</x:f>
        <x:v>1</x:v>
      </x:c>
    </x:row>
    <x:row r="11">
      <x:c r="A11" s="34" t="str">
        <x:v>Fixed issues</x:v>
      </x:c>
      <x:c r="B11" s="38" t="n">
        <x:f>COUNTIF('Issues'!$F$2:$F$100,"Fixed")+COUNTIF('Issues'!$F$2:$F$100,"Retest Pass")</x:f>
        <x:v>13</x:v>
      </x:c>
      <x:c r="C11" s="36" t="n">
        <x:f>COUNTIF('Issues'!$F$2:$F$100,"Fixed")+COUNTIF('Issues'!$F$2:$F$100,"Retest Pass")</x:f>
        <x:v>13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6" hidden="0" customWidth="1"/>
    <x:col min="3" max="3" width="22" hidden="0" customWidth="1"/>
    <x:col min="4" max="4" width="42" hidden="0" customWidth="1"/>
    <x:col min="5" max="5" width="56" hidden="0" customWidth="1"/>
    <x:col min="6" max="6" width="42" hidden="0" customWidth="1"/>
    <x:col min="7" max="7" width="28" hidden="0" customWidth="1"/>
    <x:col min="8" max="8" width="10" hidden="0" customWidth="1"/>
    <x:col min="9" max="9" width="14" hidden="0" customWidth="1"/>
    <x:col min="10" max="10" width="14" hidden="0" customWidth="1"/>
    <x:col min="11" max="11" width="16" hidden="0" customWidth="1"/>
    <x:col min="12" max="12" width="32" hidden="0" customWidth="1"/>
  </x:cols>
  <x:sheetData>
    <x:row r="1" ht="34" customHeight="1">
      <x:c r="A1" s="40" t="str">
        <x:v>ID</x:v>
      </x:c>
      <x:c r="B1" s="40" t="str">
        <x:v>Surface</x:v>
      </x:c>
      <x:c r="C1" s="40" t="str">
        <x:v>Feature</x:v>
      </x:c>
      <x:c r="D1" s="40" t="str">
        <x:v>User Story</x:v>
      </x:c>
      <x:c r="E1" s="40" t="str">
        <x:v>Expected Behavior From Code</x:v>
      </x:c>
      <x:c r="F1" s="40" t="str">
        <x:v>Code Evidence</x:v>
      </x:c>
      <x:c r="G1" s="40" t="str">
        <x:v>Test Method</x:v>
      </x:c>
      <x:c r="H1" s="40" t="str">
        <x:v>Priority</x:v>
      </x:c>
      <x:c r="I1" s="40" t="str">
        <x:v>Status</x:v>
      </x:c>
      <x:c r="J1" s="40" t="str">
        <x:v>Issue ID</x:v>
      </x:c>
      <x:c r="K1" s="40" t="str">
        <x:v>Retest Status</x:v>
      </x:c>
      <x:c r="L1" s="40" t="str">
        <x:v>Notes</x:v>
      </x:c>
    </x:row>
    <x:row r="2" ht="76" customHeight="1">
      <x:c r="A2" s="41" t="str">
        <x:v>APP-001</x:v>
      </x:c>
      <x:c r="B2" s="41" t="str">
        <x:v>macOS App</x:v>
      </x:c>
      <x:c r="C2" s="41" t="str">
        <x:v>Launch and bootstrap</x:v>
      </x:c>
      <x:c r="D2" s="41" t="str">
        <x:v>As a writer, I want the app to open into a usable workspace when the bundled SampleVault exists.</x:v>
      </x:c>
      <x:c r="E2" s="41" t="str">
        <x:v>On first appearance, WorkspaceStore.bootstrap opens ~/Desktop/markdown/SampleVault if it exists and no workspace is already open.</x:v>
      </x:c>
      <x:c r="F2" s="41" t="str">
        <x:v>Sources/Graft/App/GraftApp.swift; Sources/Graft/Stores/WorkspaceStore.swift:bootstrap</x:v>
      </x:c>
      <x:c r="G2" s="41" t="str">
        <x:v>Build/run smoke plus app launch observation</x:v>
      </x:c>
      <x:c r="H2" s="41" t="str">
        <x:v>P1</x:v>
      </x:c>
      <x:c r="I2" s="41" t="str">
        <x:v>Needs Fix</x:v>
      </x:c>
      <x:c r="J2" s="41" t="str">
        <x:v>ISS-017</x:v>
      </x:c>
      <x:c r="K2" s="41" t="str">
        <x:v>Retest Fail</x:v>
      </x:c>
      <x:c r="L2" s="41" t="str">
        <x:v>Direct executable opens a visible window; LaunchServices-opened staged .app remains zero-sized</x:v>
      </x:c>
    </x:row>
    <x:row r="3" ht="76" customHeight="1">
      <x:c r="A3" s="41" t="str">
        <x:v>APP-002</x:v>
      </x:c>
      <x:c r="B3" s="41" t="str">
        <x:v>macOS App</x:v>
      </x:c>
      <x:c r="C3" s="41" t="str">
        <x:v>Empty workspace state</x:v>
      </x:c>
      <x:c r="D3" s="41" t="str">
        <x:v>As a new user, I want a clear empty state with an open-folder action when no file is selected.</x:v>
      </x:c>
      <x:c r="E3" s="41" t="str">
        <x:v>EditorContainerView shows EmptyWorkspaceView when selectedFile is nil, with an Open Workspace button wired to openWorkspacePanel.</x:v>
      </x:c>
      <x:c r="F3" s="41" t="str">
        <x:v>Sources/Graft/Views/EditorContainerView.swift</x:v>
      </x:c>
      <x:c r="G3" s="41" t="str">
        <x:v>App UI observation</x:v>
      </x:c>
      <x:c r="H3" s="41" t="str">
        <x:v>P2</x:v>
      </x:c>
      <x:c r="I3" s="41" t="str">
        <x:v>Pass</x:v>
      </x:c>
      <x:c r="J3" s="41" t="str"/>
      <x:c r="K3" s="41" t="str">
        <x:v>Retest Pass</x:v>
      </x:c>
      <x:c r="L3" s="41" t="str">
        <x:v>Code audit: EditorContainerView shows EmptyWorkspaceView when selectedFile is nil</x:v>
      </x:c>
    </x:row>
    <x:row r="4" ht="76" customHeight="1">
      <x:c r="A4" s="41" t="str">
        <x:v>APP-003</x:v>
      </x:c>
      <x:c r="B4" s="41" t="str">
        <x:v>macOS App</x:v>
      </x:c>
      <x:c r="C4" s="41" t="str">
        <x:v>Open workspace</x:v>
      </x:c>
      <x:c r="D4" s="41" t="str">
        <x:v>As a user, I want to choose a folder as my Markdown workspace.</x:v>
      </x:c>
      <x:c r="E4" s="41" t="str">
        <x:v>Toolbar, menu, and empty-state actions open an NSOpenPanel configured for directories only.</x:v>
      </x:c>
      <x:c r="F4" s="41" t="str">
        <x:v>Sources/Graft/Views/ContentView.swift; Sources/Graft/App/GraftCommands.swift; WorkspaceStore.openWorkspacePanel</x:v>
      </x:c>
      <x:c r="G4" s="41" t="str">
        <x:v>App UI observation</x:v>
      </x:c>
      <x:c r="H4" s="41" t="str">
        <x:v>P1</x:v>
      </x:c>
      <x:c r="I4" s="41" t="str">
        <x:v>Pass</x:v>
      </x:c>
      <x:c r="J4" s="41" t="str"/>
      <x:c r="K4" s="41" t="str">
        <x:v>Retest Pass</x:v>
      </x:c>
      <x:c r="L4" s="41" t="str">
        <x:v>Code audit: toolbar, commands, and empty state call openWorkspacePanel</x:v>
      </x:c>
    </x:row>
    <x:row r="5" ht="76" customHeight="1">
      <x:c r="A5" s="41" t="str">
        <x:v>APP-004</x:v>
      </x:c>
      <x:c r="B5" s="41" t="str">
        <x:v>macOS App</x:v>
      </x:c>
      <x:c r="C5" s="41" t="str">
        <x:v>Sidecar preparation</x:v>
      </x:c>
      <x:c r="D5" s="41" t="str">
        <x:v>As a user, I want app metadata to stay in a sidecar and be created automatically.</x:v>
      </x:c>
      <x:c r="E5" s="41" t="str">
        <x:v>Opening a workspace calls VersionHistoryStore.prepare, creating .pagepacket/history and .pagepacket/shares.</x:v>
      </x:c>
      <x:c r="F5" s="41" t="str">
        <x:v>Sources/Graft/Stores/WorkspaceStore.swift:openWorkspace; Sources/Graft/Services/VersionHistoryStore.swift:prepare</x:v>
      </x:c>
      <x:c r="G5" s="41" t="str">
        <x:v>Filesystem smoke</x:v>
      </x:c>
      <x:c r="H5" s="41" t="str">
        <x:v>P1</x:v>
      </x:c>
      <x:c r="I5" s="41" t="str">
        <x:v>Pass</x:v>
      </x:c>
      <x:c r="J5" s="41" t="str"/>
      <x:c r="K5" s="41" t="str">
        <x:v>Retest Pass</x:v>
      </x:c>
      <x:c r="L5" s="41" t="str">
        <x:v>Regression runner opened temp workspace and verified sidecar-backed behavior</x:v>
      </x:c>
    </x:row>
    <x:row r="6" ht="76" customHeight="1">
      <x:c r="A6" s="41" t="str">
        <x:v>APP-005</x:v>
      </x:c>
      <x:c r="B6" s="41" t="str">
        <x:v>macOS App</x:v>
      </x:c>
      <x:c r="C6" s="41" t="str">
        <x:v>Markdown discovery</x:v>
      </x:c>
      <x:c r="D6" s="41" t="str">
        <x:v>As a user, I want the sidebar to list all Markdown files in the chosen workspace.</x:v>
      </x:c>
      <x:c r="E6" s="41" t="str">
        <x:v>reloadFileList recursively enumerates non-hidden .md files, excludes .pagepacket and .graft paths, and sorts by relative path.</x:v>
      </x:c>
      <x:c r="F6" s="41" t="str">
        <x:v>Sources/Graft/Stores/WorkspaceStore.swift:reloadFileList</x:v>
      </x:c>
      <x:c r="G6" s="41" t="str">
        <x:v>Filesystem smoke</x:v>
      </x:c>
      <x:c r="H6" s="41" t="str">
        <x:v>P1</x:v>
      </x:c>
      <x:c r="I6" s="41" t="str">
        <x:v>Pass</x:v>
      </x:c>
      <x:c r="J6" s="41" t="str"/>
      <x:c r="K6" s="41" t="str">
        <x:v>Retest Pass</x:v>
      </x:c>
      <x:c r="L6" s="41" t="str">
        <x:v>Regression runner verified recursive Markdown discovery and sidecar exclusion</x:v>
      </x:c>
    </x:row>
    <x:row r="7" ht="76" customHeight="1">
      <x:c r="A7" s="41" t="str">
        <x:v>APP-006</x:v>
      </x:c>
      <x:c r="B7" s="41" t="str">
        <x:v>macOS App</x:v>
      </x:c>
      <x:c r="C7" s="41" t="str">
        <x:v>Sidebar file list</x:v>
      </x:c>
      <x:c r="D7" s="41" t="str">
        <x:v>As a user, I want each Markdown file to show a title and relative path.</x:v>
      </x:c>
      <x:c r="E7" s="41" t="str">
        <x:v>SidebarView renders file.title and file.relativePath with doc icons in the Markdown section.</x:v>
      </x:c>
      <x:c r="F7" s="41" t="str">
        <x:v>Sources/Graft/Views/SidebarView.swift; Sources/Graft/Models/MarkdownFile.swift</x:v>
      </x:c>
      <x:c r="G7" s="41" t="str">
        <x:v>App UI observation</x:v>
      </x:c>
      <x:c r="H7" s="41" t="str">
        <x:v>P2</x:v>
      </x:c>
      <x:c r="I7" s="41" t="str">
        <x:v>Pass</x:v>
      </x:c>
      <x:c r="J7" s="41" t="str"/>
      <x:c r="K7" s="41" t="str">
        <x:v>Retest Pass</x:v>
      </x:c>
      <x:c r="L7" s="41" t="str">
        <x:v>Code audit plus regression file discovery: SidebarView renders file title and relative path</x:v>
      </x:c>
    </x:row>
    <x:row r="8" ht="76" customHeight="1">
      <x:c r="A8" s="41" t="str">
        <x:v>APP-007</x:v>
      </x:c>
      <x:c r="B8" s="41" t="str">
        <x:v>macOS App</x:v>
      </x:c>
      <x:c r="C8" s="41" t="str">
        <x:v>Select file</x:v>
      </x:c>
      <x:c r="D8" s="41" t="str">
        <x:v>As a user, I want selecting a file to load its text and matching history.</x:v>
      </x:c>
      <x:c r="E8" s="41" t="str">
        <x:v>load(file:) snapshots dirty current text first, then updates selectedFile, editorText, lastLoadedText, clears banners, and refreshes snapshots.</x:v>
      </x:c>
      <x:c r="F8" s="41" t="str">
        <x:v>Sources/Graft/Stores/WorkspaceStore.swift:load</x:v>
      </x:c>
      <x:c r="G8" s="41" t="str">
        <x:v>Filesystem/app smoke</x:v>
      </x:c>
      <x:c r="H8" s="41" t="str">
        <x:v>P1</x:v>
      </x:c>
      <x:c r="I8" s="41" t="str">
        <x:v>Pass</x:v>
      </x:c>
      <x:c r="J8" s="41" t="str"/>
      <x:c r="K8" s="41" t="str">
        <x:v>Retest Pass</x:v>
      </x:c>
      <x:c r="L8" s="41" t="str">
        <x:v>Regression runner verified first sorted file selection and text load</x:v>
      </x:c>
    </x:row>
    <x:row r="9" ht="76" customHeight="1">
      <x:c r="A9" s="41" t="str">
        <x:v>APP-008</x:v>
      </x:c>
      <x:c r="B9" s="41" t="str">
        <x:v>macOS App</x:v>
      </x:c>
      <x:c r="C9" s="41" t="str">
        <x:v>Edit mode</x:v>
      </x:c>
      <x:c r="D9" s="41" t="str">
        <x:v>As a writer, I want a full editor for the selected Markdown file.</x:v>
      </x:c>
      <x:c r="E9" s="41" t="str">
        <x:v>Edit mode renders MarkdownEditorView with file title, relative path, image/save actions, and TextEditor bound to editorText.</x:v>
      </x:c>
      <x:c r="F9" s="41" t="str">
        <x:v>Sources/Graft/Views/MarkdownEditorView.swift; Sources/Graft/Views/EditorContainerView.swift</x:v>
      </x:c>
      <x:c r="G9" s="41" t="str">
        <x:v>App UI observation</x:v>
      </x:c>
      <x:c r="H9" s="41" t="str">
        <x:v>P1</x:v>
      </x:c>
      <x:c r="I9" s="41" t="str">
        <x:v>Pass</x:v>
      </x:c>
      <x:c r="J9" s="41" t="str"/>
      <x:c r="K9" s="41" t="str">
        <x:v>Retest Pass</x:v>
      </x:c>
      <x:c r="L9" s="41" t="str">
        <x:v>Final app screenshot shows editor surface</x:v>
      </x:c>
    </x:row>
    <x:row r="10" ht="76" customHeight="1">
      <x:c r="A10" s="41" t="str">
        <x:v>APP-009</x:v>
      </x:c>
      <x:c r="B10" s="41" t="str">
        <x:v>macOS App</x:v>
      </x:c>
      <x:c r="C10" s="41" t="str">
        <x:v>Editor dirty state</x:v>
      </x:c>
      <x:c r="D10" s="41" t="str">
        <x:v>As a writer, I want the app to distinguish saved from unsaved text.</x:v>
      </x:c>
      <x:c r="E10" s="41" t="str">
        <x:v>isDirty compares editorText with lastLoadedText; StatusStrip shows Saved or Unsaved with different icons/colors.</x:v>
      </x:c>
      <x:c r="F10" s="41" t="str">
        <x:v>Sources/Graft/Stores/WorkspaceStore.swift:isDirty; Sources/Graft/Views/ContentView.swift:StatusStrip</x:v>
      </x:c>
      <x:c r="G10" s="41" t="str">
        <x:v>App UI observation</x:v>
      </x:c>
      <x:c r="H10" s="41" t="str">
        <x:v>P1</x:v>
      </x:c>
      <x:c r="I10" s="41" t="str">
        <x:v>Pass</x:v>
      </x:c>
      <x:c r="J10" s="41" t="str"/>
      <x:c r="K10" s="41" t="str">
        <x:v>Retest Pass</x:v>
      </x:c>
      <x:c r="L10" s="41" t="str">
        <x:v>Store regression exercised dirty/save transition</x:v>
      </x:c>
    </x:row>
    <x:row r="11" ht="76" customHeight="1">
      <x:c r="A11" s="41" t="str">
        <x:v>APP-010</x:v>
      </x:c>
      <x:c r="B11" s="41" t="str">
        <x:v>macOS App</x:v>
      </x:c>
      <x:c r="C11" s="41" t="str">
        <x:v>Save document</x:v>
      </x:c>
      <x:c r="D11" s="41" t="str">
        <x:v>As a writer, I want Save to persist the current Markdown file.</x:v>
      </x:c>
      <x:c r="E11" s="41" t="str">
        <x:v>saveCurrentDocument snapshots before save, writes editorText to selectedFile.url, updates lastLoadedText, marks watcher clean, reloads file list, and refreshes snapshots.</x:v>
      </x:c>
      <x:c r="F11" s="41" t="str">
        <x:v>Sources/Graft/Stores/WorkspaceStore.swift:saveCurrentDocument</x:v>
      </x:c>
      <x:c r="G11" s="41" t="str">
        <x:v>Filesystem smoke</x:v>
      </x:c>
      <x:c r="H11" s="41" t="str">
        <x:v>P1</x:v>
      </x:c>
      <x:c r="I11" s="41" t="str">
        <x:v>Retest Pass</x:v>
      </x:c>
      <x:c r="J11" s="41" t="str">
        <x:v>ISS-015</x:v>
      </x:c>
      <x:c r="K11" s="41" t="str">
        <x:v>Retest Pass</x:v>
      </x:c>
      <x:c r="L11" s="41" t="str">
        <x:v>Regression runner verified save writes editor text and snapshots pre-save disk text</x:v>
      </x:c>
    </x:row>
    <x:row r="12" ht="76" customHeight="1">
      <x:c r="A12" s="41" t="str">
        <x:v>APP-011</x:v>
      </x:c>
      <x:c r="B12" s="41" t="str">
        <x:v>macOS App</x:v>
      </x:c>
      <x:c r="C12" s="41" t="str">
        <x:v>Autosave</x:v>
      </x:c>
      <x:c r="D12" s="41" t="str">
        <x:v>As a writer, I want optional autosave on each edit.</x:v>
      </x:c>
      <x:c r="E12" s="41" t="str">
        <x:v>When autosaveEnabled is true and editorText changes while dirty, MarkdownEditorView calls saveCurrentDocument.</x:v>
      </x:c>
      <x:c r="F12" s="41" t="str">
        <x:v>Sources/Graft/Views/MarkdownEditorView.swift; Sources/Graft/App/SettingsView.swift</x:v>
      </x:c>
      <x:c r="G12" s="41" t="str">
        <x:v>App UI/filesystem observation</x:v>
      </x:c>
      <x:c r="H12" s="41" t="str">
        <x:v>P2</x:v>
      </x:c>
      <x:c r="I12" s="41" t="str">
        <x:v>Pass</x:v>
      </x:c>
      <x:c r="J12" s="41" t="str"/>
      <x:c r="K12" s="41" t="str">
        <x:v>Retest Pass</x:v>
      </x:c>
      <x:c r="L12" s="41" t="str">
        <x:v>Code audit: MarkdownEditorView saves on editorText change when autosaveEnabled and dirty</x:v>
      </x:c>
    </x:row>
    <x:row r="13" ht="76" customHeight="1">
      <x:c r="A13" s="41" t="str">
        <x:v>APP-012</x:v>
      </x:c>
      <x:c r="B13" s="41" t="str">
        <x:v>macOS App</x:v>
      </x:c>
      <x:c r="C13" s="41" t="str">
        <x:v>Editor font size</x:v>
      </x:c>
      <x:c r="D13" s="41" t="str">
        <x:v>As a writer, I want to adjust the editor font size.</x:v>
      </x:c>
      <x:c r="E13" s="41" t="str">
        <x:v>Settings stepper changes editorFontSize in the 12...24 range; TextEditor uses that value for a monospaced font.</x:v>
      </x:c>
      <x:c r="F13" s="41" t="str">
        <x:v>Sources/Graft/App/SettingsView.swift; Sources/Graft/Views/MarkdownEditorView.swift</x:v>
      </x:c>
      <x:c r="G13" s="41" t="str">
        <x:v>App UI observation</x:v>
      </x:c>
      <x:c r="H13" s="41" t="str">
        <x:v>P3</x:v>
      </x:c>
      <x:c r="I13" s="41" t="str">
        <x:v>Pass</x:v>
      </x:c>
      <x:c r="J13" s="41" t="str"/>
      <x:c r="K13" s="41" t="str">
        <x:v>Retest Pass</x:v>
      </x:c>
      <x:c r="L13" s="41" t="str">
        <x:v>Code audit: Settings stepper binds editorFontSize 12...24 and editor uses that font size</x:v>
      </x:c>
    </x:row>
    <x:row r="14" ht="76" customHeight="1">
      <x:c r="A14" s="41" t="str">
        <x:v>APP-013</x:v>
      </x:c>
      <x:c r="B14" s="41" t="str">
        <x:v>macOS App</x:v>
      </x:c>
      <x:c r="C14" s="41" t="str">
        <x:v>Mode picker</x:v>
      </x:c>
      <x:c r="D14" s="41" t="str">
        <x:v>As a writer, I want Edit, Split, and Preview modes.</x:v>
      </x:c>
      <x:c r="E14" s="41" t="str">
        <x:v>ContentView toolbar picker binds to editorMode; EditorMode has edit, split, preview cases.</x:v>
      </x:c>
      <x:c r="F14" s="41" t="str">
        <x:v>Sources/Graft/Views/ContentView.swift; Sources/Graft/Models/EditorMode.swift</x:v>
      </x:c>
      <x:c r="G14" s="41" t="str">
        <x:v>App UI observation</x:v>
      </x:c>
      <x:c r="H14" s="41" t="str">
        <x:v>P1</x:v>
      </x:c>
      <x:c r="I14" s="41" t="str">
        <x:v>Pass</x:v>
      </x:c>
      <x:c r="J14" s="41" t="str"/>
      <x:c r="K14" s="41" t="str">
        <x:v>Retest Pass</x:v>
      </x:c>
      <x:c r="L14" s="41" t="str">
        <x:v>Code audit: toolbar picker and menu actions still bind Edit, Split, and Preview modes</x:v>
      </x:c>
    </x:row>
    <x:row r="15" ht="76" customHeight="1">
      <x:c r="A15" s="41" t="str">
        <x:v>APP-014</x:v>
      </x:c>
      <x:c r="B15" s="41" t="str">
        <x:v>macOS App</x:v>
      </x:c>
      <x:c r="C15" s="41" t="str">
        <x:v>Split mode</x:v>
      </x:c>
      <x:c r="D15" s="41" t="str">
        <x:v>As a writer, I want to edit and preview side by side.</x:v>
      </x:c>
      <x:c r="E15" s="41" t="str">
        <x:v>Split mode uses HSplitView with MarkdownEditorView and MarkdownPreviewView, each with a 360px minimum width.</x:v>
      </x:c>
      <x:c r="F15" s="41" t="str">
        <x:v>Sources/Graft/Views/EditorContainerView.swift</x:v>
      </x:c>
      <x:c r="G15" s="41" t="str">
        <x:v>App UI observation</x:v>
      </x:c>
      <x:c r="H15" s="41" t="str">
        <x:v>P1</x:v>
      </x:c>
      <x:c r="I15" s="41" t="str">
        <x:v>Pass</x:v>
      </x:c>
      <x:c r="J15" s="41" t="str"/>
      <x:c r="K15" s="41" t="str">
        <x:v>Retest Pass</x:v>
      </x:c>
      <x:c r="L15" s="41" t="str">
        <x:v>Code audit: Split mode still renders editor and preview panes side by side</x:v>
      </x:c>
    </x:row>
    <x:row r="16" ht="76" customHeight="1">
      <x:c r="A16" s="41" t="str">
        <x:v>APP-015</x:v>
      </x:c>
      <x:c r="B16" s="41" t="str">
        <x:v>macOS App</x:v>
      </x:c>
      <x:c r="C16" s="41" t="str">
        <x:v>Preview headings</x:v>
      </x:c>
      <x:c r="D16" s="41" t="str">
        <x:v>As a reader, I want Markdown headings to render visually by level.</x:v>
      </x:c>
      <x:c r="E16" s="41" t="str">
        <x:v>MarkdownRenderer parses # headings up to level 6; MarkdownPreviewView maps levels to heading sizes.</x:v>
      </x:c>
      <x:c r="F16" s="41" t="str">
        <x:v>Sources/Graft/Services/MarkdownRenderer.swift; Sources/Graft/Views/MarkdownPreviewView.swift</x:v>
      </x:c>
      <x:c r="G16" s="41" t="str">
        <x:v>Renderer inspection/app preview</x:v>
      </x:c>
      <x:c r="H16" s="41" t="str">
        <x:v>P2</x:v>
      </x:c>
      <x:c r="I16" s="41" t="str">
        <x:v>Pass</x:v>
      </x:c>
      <x:c r="J16" s="41" t="str"/>
      <x:c r="K16" s="41" t="str">
        <x:v>Retest Pass</x:v>
      </x:c>
      <x:c r="L16" s="41" t="str">
        <x:v>Final app screenshot shows rendered heading hierarchy</x:v>
      </x:c>
    </x:row>
    <x:row r="17" ht="76" customHeight="1">
      <x:c r="A17" s="41" t="str">
        <x:v>APP-016</x:v>
      </x:c>
      <x:c r="B17" s="41" t="str">
        <x:v>macOS App</x:v>
      </x:c>
      <x:c r="C17" s="41" t="str">
        <x:v>Preview paragraphs and inline Markdown</x:v>
      </x:c>
      <x:c r="D17" s="41" t="str">
        <x:v>As a reader, I want paragraph text and inline Markdown to render cleanly.</x:v>
      </x:c>
      <x:c r="E17" s="41" t="str">
        <x:v>Non-special lines become paragraph blocks; MarkdownInlineText attempts AttributedString(markdown:) and falls back to plain text.</x:v>
      </x:c>
      <x:c r="F17" s="41" t="str">
        <x:v>Sources/Graft/Services/MarkdownRenderer.swift; Sources/Graft/Views/MarkdownPreviewView.swift</x:v>
      </x:c>
      <x:c r="G17" s="41" t="str">
        <x:v>Renderer inspection/app preview</x:v>
      </x:c>
      <x:c r="H17" s="41" t="str">
        <x:v>P2</x:v>
      </x:c>
      <x:c r="I17" s="41" t="str">
        <x:v>Pass</x:v>
      </x:c>
      <x:c r="J17" s="41" t="str"/>
      <x:c r="K17" s="41" t="str">
        <x:v>Retest Pass</x:v>
      </x:c>
      <x:c r="L17" s="41" t="str">
        <x:v>Final app screenshot shows readable paragraph and inline Markdown rendering</x:v>
      </x:c>
    </x:row>
    <x:row r="18" ht="76" customHeight="1">
      <x:c r="A18" s="41" t="str">
        <x:v>APP-017</x:v>
      </x:c>
      <x:c r="B18" s="41" t="str">
        <x:v>macOS App</x:v>
      </x:c>
      <x:c r="C18" s="41" t="str">
        <x:v>Preview quotes</x:v>
      </x:c>
      <x:c r="D18" s="41" t="str">
        <x:v>As a reader, I want block quotes to stand apart from body text.</x:v>
      </x:c>
      <x:c r="E18" s="41" t="str">
        <x:v>Lines beginning with &gt; become quote blocks shown with a lavender left rule and secondary text style.</x:v>
      </x:c>
      <x:c r="F18" s="41" t="str">
        <x:v>Sources/Graft/Services/MarkdownRenderer.swift; Sources/Graft/Views/MarkdownPreviewView.swift</x:v>
      </x:c>
      <x:c r="G18" s="41" t="str">
        <x:v>Renderer inspection/app preview</x:v>
      </x:c>
      <x:c r="H18" s="41" t="str">
        <x:v>P3</x:v>
      </x:c>
      <x:c r="I18" s="41" t="str">
        <x:v>Pass</x:v>
      </x:c>
      <x:c r="J18" s="41" t="str"/>
      <x:c r="K18" s="41" t="str">
        <x:v>Retest Pass</x:v>
      </x:c>
      <x:c r="L18" s="41" t="str">
        <x:v>Final app screenshot shows quote block styling</x:v>
      </x:c>
    </x:row>
    <x:row r="19" ht="76" customHeight="1">
      <x:c r="A19" s="41" t="str">
        <x:v>APP-018</x:v>
      </x:c>
      <x:c r="B19" s="41" t="str">
        <x:v>macOS App</x:v>
      </x:c>
      <x:c r="C19" s="41" t="str">
        <x:v>Preview unordered lists</x:v>
      </x:c>
      <x:c r="D19" s="41" t="str">
        <x:v>As a reader, I want unordered list items to render as bullets.</x:v>
      </x:c>
      <x:c r="E19" s="41" t="str">
        <x:v>Lines beginning - or * become unorderedItem blocks rendered with a teal circle icon.</x:v>
      </x:c>
      <x:c r="F19" s="41" t="str">
        <x:v>Sources/Graft/Services/MarkdownRenderer.swift; Sources/Graft/Views/MarkdownPreviewView.swift</x:v>
      </x:c>
      <x:c r="G19" s="41" t="str">
        <x:v>Renderer inspection/app preview</x:v>
      </x:c>
      <x:c r="H19" s="41" t="str">
        <x:v>P2</x:v>
      </x:c>
      <x:c r="I19" s="41" t="str">
        <x:v>Pass</x:v>
      </x:c>
      <x:c r="J19" s="41" t="str"/>
      <x:c r="K19" s="41" t="str">
        <x:v>Retest Pass</x:v>
      </x:c>
      <x:c r="L19" s="41" t="str">
        <x:v>Final app screenshot shows unordered list bullets</x:v>
      </x:c>
    </x:row>
    <x:row r="20" ht="76" customHeight="1">
      <x:c r="A20" s="41" t="str">
        <x:v>APP-019</x:v>
      </x:c>
      <x:c r="B20" s="41" t="str">
        <x:v>macOS App</x:v>
      </x:c>
      <x:c r="C20" s="41" t="str">
        <x:v>Preview ordered lists</x:v>
      </x:c>
      <x:c r="D20" s="41" t="str">
        <x:v>As a reader, I want ordered list numbers to match the Markdown source.</x:v>
      </x:c>
      <x:c r="E20" s="41" t="str">
        <x:v>Current preview parses ordered items but renders every item with the literal label 1.</x:v>
      </x:c>
      <x:c r="F20" s="41" t="str">
        <x:v>Sources/Graft/Services/MarkdownRenderer.swift:isOrderedItem; Sources/Graft/Views/MarkdownPreviewView.swift:orderedItem</x:v>
      </x:c>
      <x:c r="G20" s="41" t="str">
        <x:v>Renderer inspection/app preview</x:v>
      </x:c>
      <x:c r="H20" s="41" t="str">
        <x:v>P2</x:v>
      </x:c>
      <x:c r="I20" s="41" t="str">
        <x:v>Retest Pass</x:v>
      </x:c>
      <x:c r="J20" s="41" t="str">
        <x:v>ISS-004</x:v>
      </x:c>
      <x:c r="K20" s="41" t="str">
        <x:v>Retest Pass</x:v>
      </x:c>
      <x:c r="L20" s="41" t="str">
        <x:v>Regression runner verified ordered numbers 3 and 10 survive parsing</x:v>
      </x:c>
    </x:row>
    <x:row r="21" ht="76" customHeight="1">
      <x:c r="A21" s="41" t="str">
        <x:v>APP-020</x:v>
      </x:c>
      <x:c r="B21" s="41" t="str">
        <x:v>macOS App</x:v>
      </x:c>
      <x:c r="C21" s="41" t="str">
        <x:v>Preview task lists</x:v>
      </x:c>
      <x:c r="D21" s="41" t="str">
        <x:v>As a reader, I want checked and unchecked tasks to show their state.</x:v>
      </x:c>
      <x:c r="E21" s="41" t="str">
        <x:v>Lines beginning - [ ], * [ ], - [x], * [x], - [X], or * [X] become task blocks with square/checkmark icons.</x:v>
      </x:c>
      <x:c r="F21" s="41" t="str">
        <x:v>Sources/Graft/Services/MarkdownRenderer.swift; Sources/Graft/Views/MarkdownPreviewView.swift</x:v>
      </x:c>
      <x:c r="G21" s="41" t="str">
        <x:v>Renderer inspection/app preview</x:v>
      </x:c>
      <x:c r="H21" s="41" t="str">
        <x:v>P2</x:v>
      </x:c>
      <x:c r="I21" s="41" t="str">
        <x:v>Pass</x:v>
      </x:c>
      <x:c r="J21" s="41" t="str"/>
      <x:c r="K21" s="41" t="str">
        <x:v>Retest Pass</x:v>
      </x:c>
      <x:c r="L21" s="41" t="str">
        <x:v>Final app screenshot shows checked and unchecked task rows</x:v>
      </x:c>
    </x:row>
    <x:row r="22" ht="76" customHeight="1">
      <x:c r="A22" s="41" t="str">
        <x:v>APP-021</x:v>
      </x:c>
      <x:c r="B22" s="41" t="str">
        <x:v>macOS App</x:v>
      </x:c>
      <x:c r="C22" s="41" t="str">
        <x:v>Preview code fences</x:v>
      </x:c>
      <x:c r="D22" s="41" t="str">
        <x:v>As a reader, I want fenced code blocks to preserve monospaced text and language labels.</x:v>
      </x:c>
      <x:c r="E22" s="41" t="str">
        <x:v>Triple-backtick fences become code blocks; the optional fence suffix is uppercased as a label.</x:v>
      </x:c>
      <x:c r="F22" s="41" t="str">
        <x:v>Sources/Graft/Services/MarkdownRenderer.swift; Sources/Graft/Views/MarkdownPreviewView.swift</x:v>
      </x:c>
      <x:c r="G22" s="41" t="str">
        <x:v>Renderer inspection/app preview</x:v>
      </x:c>
      <x:c r="H22" s="41" t="str">
        <x:v>P2</x:v>
      </x:c>
      <x:c r="I22" s="41" t="str">
        <x:v>Pass</x:v>
      </x:c>
      <x:c r="J22" s="41" t="str"/>
      <x:c r="K22" s="41" t="str">
        <x:v>Retest Pass</x:v>
      </x:c>
      <x:c r="L22" s="41" t="str">
        <x:v>SampleVault preview/code audit</x:v>
      </x:c>
    </x:row>
    <x:row r="23" ht="76" customHeight="1">
      <x:c r="A23" s="41" t="str">
        <x:v>APP-022</x:v>
      </x:c>
      <x:c r="B23" s="41" t="str">
        <x:v>macOS App</x:v>
      </x:c>
      <x:c r="C23" s="41" t="str">
        <x:v>Preview tables</x:v>
      </x:c>
      <x:c r="D23" s="41" t="str">
        <x:v>As a reader, I want pipe tables to render as rows and cells.</x:v>
      </x:c>
      <x:c r="E23" s="41" t="str">
        <x:v>A pipe row followed by a separator row becomes a table; cells are normalized to header width.</x:v>
      </x:c>
      <x:c r="F23" s="41" t="str">
        <x:v>Sources/Graft/Services/MarkdownRenderer.swift; Sources/Graft/Views/MarkdownPreviewView.swift</x:v>
      </x:c>
      <x:c r="G23" s="41" t="str">
        <x:v>Renderer inspection/app preview</x:v>
      </x:c>
      <x:c r="H23" s="41" t="str">
        <x:v>P2</x:v>
      </x:c>
      <x:c r="I23" s="41" t="str">
        <x:v>Pass</x:v>
      </x:c>
      <x:c r="J23" s="41" t="str"/>
      <x:c r="K23" s="41" t="str">
        <x:v>Retest Pass</x:v>
      </x:c>
      <x:c r="L23" s="41" t="str">
        <x:v>Final app screenshot shows table rendering</x:v>
      </x:c>
    </x:row>
    <x:row r="24" ht="76" customHeight="1">
      <x:c r="A24" s="41" t="str">
        <x:v>APP-023</x:v>
      </x:c>
      <x:c r="B24" s="41" t="str">
        <x:v>macOS App</x:v>
      </x:c>
      <x:c r="C24" s="41" t="str">
        <x:v>Preview images</x:v>
      </x:c>
      <x:c r="D24" s="41" t="str">
        <x:v>As a reader, I want local Markdown images to display from relative paths.</x:v>
      </x:c>
      <x:c r="E24" s="41" t="str">
        <x:v>Image syntax becomes image blocks; Preview resolves paths relative to the selected file folder and displays NSImage if present.</x:v>
      </x:c>
      <x:c r="F24" s="41" t="str">
        <x:v>Sources/Graft/Services/MarkdownRenderer.swift:parseImage; Sources/Graft/Views/MarkdownPreviewView.swift:imageView</x:v>
      </x:c>
      <x:c r="G24" s="41" t="str">
        <x:v>Filesystem/app preview</x:v>
      </x:c>
      <x:c r="H24" s="41" t="str">
        <x:v>P2</x:v>
      </x:c>
      <x:c r="I24" s="41" t="str">
        <x:v>Pass</x:v>
      </x:c>
      <x:c r="J24" s="41" t="str"/>
      <x:c r="K24" s="41" t="str">
        <x:v>Retest Pass</x:v>
      </x:c>
      <x:c r="L24" s="41" t="str">
        <x:v>Sample image file exists and preview path resolution remains relative</x:v>
      </x:c>
    </x:row>
    <x:row r="25" ht="76" customHeight="1">
      <x:c r="A25" s="41" t="str">
        <x:v>APP-024</x:v>
      </x:c>
      <x:c r="B25" s="41" t="str">
        <x:v>macOS App</x:v>
      </x:c>
      <x:c r="C25" s="41" t="str">
        <x:v>Missing image state</x:v>
      </x:c>
      <x:c r="D25" s="41" t="str">
        <x:v>As a reader, I want broken image links to be visible.</x:v>
      </x:c>
      <x:c r="E25" s="41" t="str">
        <x:v>If NSImage cannot load the path, Preview shows a pink Missing image label with the path.</x:v>
      </x:c>
      <x:c r="F25" s="41" t="str">
        <x:v>Sources/Graft/Views/MarkdownPreviewView.swift:imageView</x:v>
      </x:c>
      <x:c r="G25" s="41" t="str">
        <x:v>App preview</x:v>
      </x:c>
      <x:c r="H25" s="41" t="str">
        <x:v>P3</x:v>
      </x:c>
      <x:c r="I25" s="41" t="str">
        <x:v>Pass</x:v>
      </x:c>
      <x:c r="J25" s="41" t="str"/>
      <x:c r="K25" s="41" t="str">
        <x:v>Retest Pass</x:v>
      </x:c>
      <x:c r="L25" s="41" t="str">
        <x:v>Code audit: missing image branch renders a labeled fallback with the unresolved path</x:v>
      </x:c>
    </x:row>
    <x:row r="26" ht="76" customHeight="1">
      <x:c r="A26" s="41" t="str">
        <x:v>APP-025</x:v>
      </x:c>
      <x:c r="B26" s="41" t="str">
        <x:v>macOS App</x:v>
      </x:c>
      <x:c r="C26" s="41" t="str">
        <x:v>Preview horizontal rules</x:v>
      </x:c>
      <x:c r="D26" s="41" t="str">
        <x:v>As a reader, I want --- and *** to render as dividers.</x:v>
      </x:c>
      <x:c r="E26" s="41" t="str">
        <x:v>Trimmed lines equal to --- or *** become horizontalRule blocks.</x:v>
      </x:c>
      <x:c r="F26" s="41" t="str">
        <x:v>Sources/Graft/Services/MarkdownRenderer.swift; Sources/Graft/Views/MarkdownPreviewView.swift</x:v>
      </x:c>
      <x:c r="G26" s="41" t="str">
        <x:v>Renderer inspection/app preview</x:v>
      </x:c>
      <x:c r="H26" s="41" t="str">
        <x:v>P3</x:v>
      </x:c>
      <x:c r="I26" s="41" t="str">
        <x:v>Retest Pass</x:v>
      </x:c>
      <x:c r="J26" s="41" t="str">
        <x:v>ISS-005</x:v>
      </x:c>
      <x:c r="K26" s="41" t="str">
        <x:v>Retest Pass</x:v>
      </x:c>
      <x:c r="L26" s="41" t="str">
        <x:v>Regression runner verified stable unique block IDs for repeated rules/content</x:v>
      </x:c>
    </x:row>
    <x:row r="27" ht="76" customHeight="1">
      <x:c r="A27" s="41" t="str">
        <x:v>APP-026</x:v>
      </x:c>
      <x:c r="B27" s="41" t="str">
        <x:v>macOS App</x:v>
      </x:c>
      <x:c r="C27" s="41" t="str">
        <x:v>Stable preview rows</x:v>
      </x:c>
      <x:c r="D27" s="41" t="str">
        <x:v>As a user, I want repeated Markdown blocks to render predictably without SwiftUI identity collisions.</x:v>
      </x:c>
      <x:c r="E27" s="41" t="str">
        <x:v>Current MarkdownBlock.id is content-derived for most blocks and random for horizontalRule, so repeated identical content can collide and rules churn identity.</x:v>
      </x:c>
      <x:c r="F27" s="41" t="str">
        <x:v>Sources/Graft/Models/MarkdownBlock.swift; Sources/Graft/Views/MarkdownPreviewView.swift</x:v>
      </x:c>
      <x:c r="G27" s="41" t="str">
        <x:v>Code audit plus app log observation</x:v>
      </x:c>
      <x:c r="H27" s="41" t="str">
        <x:v>P1</x:v>
      </x:c>
      <x:c r="I27" s="41" t="str">
        <x:v>Retest Pass</x:v>
      </x:c>
      <x:c r="J27" s="41" t="str">
        <x:v>ISS-005</x:v>
      </x:c>
      <x:c r="K27" s="41" t="str">
        <x:v>Retest Pass</x:v>
      </x:c>
      <x:c r="L27" s="41" t="str">
        <x:v>Regression runner verified stable unique block IDs</x:v>
      </x:c>
    </x:row>
    <x:row r="28" ht="76" customHeight="1">
      <x:c r="A28" s="41" t="str">
        <x:v>APP-027</x:v>
      </x:c>
      <x:c r="B28" s="41" t="str">
        <x:v>macOS App</x:v>
      </x:c>
      <x:c r="C28" s="41" t="str">
        <x:v>Insert image</x:v>
      </x:c>
      <x:c r="D28" s="41" t="str">
        <x:v>As a writer, I want to import an image and insert Markdown for it.</x:v>
      </x:c>
      <x:c r="E28" s="41" t="str">
        <x:v>Toolbar/editor image actions open an image NSOpenPanel; ImageImportService copies the file under assets/&lt;document-name&gt;/ and appends Markdown to editorText.</x:v>
      </x:c>
      <x:c r="F28" s="41" t="str">
        <x:v>Sources/Graft/Stores/WorkspaceStore.swift:insertImageFromPanel; Sources/Graft/Services/ImageImportService.swift</x:v>
      </x:c>
      <x:c r="G28" s="41" t="str">
        <x:v>Filesystem/app smoke</x:v>
      </x:c>
      <x:c r="H28" s="41" t="str">
        <x:v>P1</x:v>
      </x:c>
      <x:c r="I28" s="41" t="str">
        <x:v>Retest Pass</x:v>
      </x:c>
      <x:c r="J28" s="41" t="str">
        <x:v>ISS-006</x:v>
      </x:c>
      <x:c r="K28" s="41" t="str">
        <x:v>Retest Pass</x:v>
      </x:c>
      <x:c r="L28" s="41" t="str">
        <x:v>Regression runner verified nested image Markdown is ../assets/... not absolute</x:v>
      </x:c>
    </x:row>
    <x:row r="29" ht="76" customHeight="1">
      <x:c r="A29" s="41" t="str">
        <x:v>APP-028</x:v>
      </x:c>
      <x:c r="B29" s="41" t="str">
        <x:v>macOS App</x:v>
      </x:c>
      <x:c r="C29" s="41" t="str">
        <x:v>Manual snapshot</x:v>
      </x:c>
      <x:c r="D29" s="41" t="str">
        <x:v>As a writer, I want to create a checkpoint without saving new content.</x:v>
      </x:c>
      <x:c r="E29" s="41" t="str">
        <x:v>Toolbar, menu, and History plus button call snapshotCurrentDocument with reason Manual checkpoint and source Pagepacket.</x:v>
      </x:c>
      <x:c r="F29" s="41" t="str">
        <x:v>Sources/Graft/Views/ContentView.swift; Sources/Graft/Views/HistoryView.swift; Sources/Graft/App/GraftCommands.swift</x:v>
      </x:c>
      <x:c r="G29" s="41" t="str">
        <x:v>Filesystem smoke</x:v>
      </x:c>
      <x:c r="H29" s="41" t="str">
        <x:v>P1</x:v>
      </x:c>
      <x:c r="I29" s="41" t="str">
        <x:v>Pass</x:v>
      </x:c>
      <x:c r="J29" s="41" t="str"/>
      <x:c r="K29" s="41" t="str">
        <x:v>Retest Pass</x:v>
      </x:c>
      <x:c r="L29" s="41" t="str">
        <x:v>Regression runner verified snapshot creation path through save/manual snapshot store path</x:v>
      </x:c>
    </x:row>
    <x:row r="30" ht="76" customHeight="1">
      <x:c r="A30" s="41" t="str">
        <x:v>APP-029</x:v>
      </x:c>
      <x:c r="B30" s="41" t="str">
        <x:v>macOS App</x:v>
      </x:c>
      <x:c r="C30" s="41" t="str">
        <x:v>History empty state</x:v>
      </x:c>
      <x:c r="D30" s="41" t="str">
        <x:v>As a writer, I want history to explain itself before snapshots exist.</x:v>
      </x:c>
      <x:c r="E30" s="41" t="str">
        <x:v>HistoryView shows No snapshots yet when workspace.snapshots is empty.</x:v>
      </x:c>
      <x:c r="F30" s="41" t="str">
        <x:v>Sources/Graft/Views/HistoryView.swift</x:v>
      </x:c>
      <x:c r="G30" s="41" t="str">
        <x:v>App UI observation</x:v>
      </x:c>
      <x:c r="H30" s="41" t="str">
        <x:v>P3</x:v>
      </x:c>
      <x:c r="I30" s="41" t="str">
        <x:v>Pass</x:v>
      </x:c>
      <x:c r="J30" s="41" t="str"/>
      <x:c r="K30" s="41" t="str">
        <x:v>Retest Pass</x:v>
      </x:c>
      <x:c r="L30" s="41" t="str">
        <x:v>Code audit: HistoryView renders No snapshots yet when snapshot list is empty</x:v>
      </x:c>
    </x:row>
    <x:row r="31" ht="76" customHeight="1">
      <x:c r="A31" s="41" t="str">
        <x:v>APP-030</x:v>
      </x:c>
      <x:c r="B31" s="41" t="str">
        <x:v>macOS App</x:v>
      </x:c>
      <x:c r="C31" s="41" t="str">
        <x:v>History cards</x:v>
      </x:c>
      <x:c r="D31" s="41" t="str">
        <x:v>As a writer, I want snapshots to show source, reason, timestamp, byte count, and restore.</x:v>
      </x:c>
      <x:c r="E31" s="41" t="str">
        <x:v>HistoryView renders each VersionSnapshot displayTitle, reason, formatted timestamp, byte count, and Restore button.</x:v>
      </x:c>
      <x:c r="F31" s="41" t="str">
        <x:v>Sources/Graft/Views/HistoryView.swift; Sources/Graft/Models/VersionSnapshot.swift</x:v>
      </x:c>
      <x:c r="G31" s="41" t="str">
        <x:v>Filesystem/app observation</x:v>
      </x:c>
      <x:c r="H31" s="41" t="str">
        <x:v>P2</x:v>
      </x:c>
      <x:c r="I31" s="41" t="str">
        <x:v>Pass</x:v>
      </x:c>
      <x:c r="J31" s="41" t="str"/>
      <x:c r="K31" s="41" t="str">
        <x:v>Retest Pass</x:v>
      </x:c>
      <x:c r="L31" s="41" t="str">
        <x:v>Regression runner verified snapshots are collected and available for restore</x:v>
      </x:c>
    </x:row>
    <x:row r="32" ht="76" customHeight="1">
      <x:c r="A32" s="41" t="str">
        <x:v>APP-031</x:v>
      </x:c>
      <x:c r="B32" s="41" t="str">
        <x:v>macOS App</x:v>
      </x:c>
      <x:c r="C32" s="41" t="str">
        <x:v>Restore snapshot</x:v>
      </x:c>
      <x:c r="D32" s="41" t="str">
        <x:v>As a writer, I want to roll back to a previous snapshot.</x:v>
      </x:c>
      <x:c r="E32" s="41" t="str">
        <x:v>restore reads snapshot content after front matter, snapshots current text first, writes restored content to disk, updates lastLoadedText, marks clean, and refreshes snapshots.</x:v>
      </x:c>
      <x:c r="F32" s="41" t="str">
        <x:v>Sources/Graft/Stores/WorkspaceStore.swift:restore; Sources/Graft/Services/VersionHistoryStore.swift:restoreContent</x:v>
      </x:c>
      <x:c r="G32" s="41" t="str">
        <x:v>Filesystem smoke</x:v>
      </x:c>
      <x:c r="H32" s="41" t="str">
        <x:v>P1</x:v>
      </x:c>
      <x:c r="I32" s="41" t="str">
        <x:v>Retest Pass</x:v>
      </x:c>
      <x:c r="J32" s="41" t="str">
        <x:v>ISS-014; ISS-015</x:v>
      </x:c>
      <x:c r="K32" s="41" t="str">
        <x:v>Retest Pass</x:v>
      </x:c>
      <x:c r="L32" s="41" t="str">
        <x:v>Regression runner verified restore writes snapshot body only</x:v>
      </x:c>
    </x:row>
    <x:row r="33" ht="76" customHeight="1">
      <x:c r="A33" s="41" t="str">
        <x:v>APP-032</x:v>
      </x:c>
      <x:c r="B33" s="41" t="str">
        <x:v>macOS App</x:v>
      </x:c>
      <x:c r="C33" s="41" t="str">
        <x:v>History path isolation</x:v>
      </x:c>
      <x:c r="D33" s="41" t="str">
        <x:v>As a writer, I want snapshots for different files to stay separate.</x:v>
      </x:c>
      <x:c r="E33" s="41" t="str">
        <x:v>Current safeName can map different relative paths to the same history folder, such as a/b.md and a__b.md.</x:v>
      </x:c>
      <x:c r="F33" s="41" t="str">
        <x:v>Sources/Graft/Services/VersionHistoryStore.swift:safeName; Sources/GraftCLI/main.swift:safeName</x:v>
      </x:c>
      <x:c r="G33" s="41" t="str">
        <x:v>Filesystem regression smoke</x:v>
      </x:c>
      <x:c r="H33" s="41" t="str">
        <x:v>P1</x:v>
      </x:c>
      <x:c r="I33" s="41" t="str">
        <x:v>Retest Pass</x:v>
      </x:c>
      <x:c r="J33" s="41" t="str">
        <x:v>ISS-009</x:v>
      </x:c>
      <x:c r="K33" s="41" t="str">
        <x:v>Retest Pass</x:v>
      </x:c>
      <x:c r="L33" s="41" t="str">
        <x:v>Regression runner verified a/b.md and a__b.md use different history folders</x:v>
      </x:c>
    </x:row>
    <x:row r="34" ht="76" customHeight="1">
      <x:c r="A34" s="41" t="str">
        <x:v>APP-033</x:v>
      </x:c>
      <x:c r="B34" s="41" t="str">
        <x:v>macOS App</x:v>
      </x:c>
      <x:c r="C34" s="41" t="str">
        <x:v>Clean external change</x:v>
      </x:c>
      <x:c r="D34" s="41" t="str">
        <x:v>As a writer, I want disk edits from tools to appear when I have no local unsaved edits.</x:v>
      </x:c>
      <x:c r="E34" s="41" t="str">
        <x:v>FileWatcher detects modified selected file; if editor is clean, WorkspaceStore reloads disk text, updates lastLoadedText, shows a reload banner, updates agent status, and refreshes snapshots.</x:v>
      </x:c>
      <x:c r="F34" s="41" t="str">
        <x:v>Sources/Graft/Services/FileWatcher.swift; Sources/Graft/Stores/WorkspaceStore.swift:handleExternalChange</x:v>
      </x:c>
      <x:c r="G34" s="41" t="str">
        <x:v>Filesystem/app observation</x:v>
      </x:c>
      <x:c r="H34" s="41" t="str">
        <x:v>P1</x:v>
      </x:c>
      <x:c r="I34" s="41" t="str">
        <x:v>Pass</x:v>
      </x:c>
      <x:c r="J34" s="41" t="str"/>
      <x:c r="K34" s="41" t="str">
        <x:v>Retest Pass</x:v>
      </x:c>
      <x:c r="L34" s="41" t="str">
        <x:v>Code audit: clean selected-file external change reloads disk text, banner, status, and snapshots</x:v>
      </x:c>
    </x:row>
    <x:row r="35" ht="76" customHeight="1">
      <x:c r="A35" s="41" t="str">
        <x:v>APP-034</x:v>
      </x:c>
      <x:c r="B35" s="41" t="str">
        <x:v>macOS App</x:v>
      </x:c>
      <x:c r="C35" s="41" t="str">
        <x:v>External conflict</x:v>
      </x:c>
      <x:c r="D35" s="41" t="str">
        <x:v>As a writer, I want a conflict warning when disk changes arrive while I have unsaved local edits.</x:v>
      </x:c>
      <x:c r="E35" s="41" t="str">
        <x:v>If isDirty is true, handleExternalChange snapshots the base, shows an External edit detected banner, and marks the Codex agent as Conflict.</x:v>
      </x:c>
      <x:c r="F35" s="41" t="str">
        <x:v>Sources/Graft/Stores/WorkspaceStore.swift:handleExternalChange; Sources/Graft/Views/ContentView.swift:ExternalChangeBanner</x:v>
      </x:c>
      <x:c r="G35" s="41" t="str">
        <x:v>Filesystem/app observation</x:v>
      </x:c>
      <x:c r="H35" s="41" t="str">
        <x:v>P1</x:v>
      </x:c>
      <x:c r="I35" s="41" t="str">
        <x:v>Pass</x:v>
      </x:c>
      <x:c r="J35" s="41" t="str"/>
      <x:c r="K35" s="41" t="str">
        <x:v>Retest Pass</x:v>
      </x:c>
      <x:c r="L35" s="41" t="str">
        <x:v>Code audit: dirty selected-file external change snapshots base and raises conflict banner/status</x:v>
      </x:c>
    </x:row>
    <x:row r="36" ht="76" customHeight="1">
      <x:c r="A36" s="41" t="str">
        <x:v>APP-035</x:v>
      </x:c>
      <x:c r="B36" s="41" t="str">
        <x:v>macOS App</x:v>
      </x:c>
      <x:c r="C36" s="41" t="str">
        <x:v>Use Disk conflict action</x:v>
      </x:c>
      <x:c r="D36" s="41" t="str">
        <x:v>As a writer, I want to accept the disk version during an external-change conflict.</x:v>
      </x:c>
      <x:c r="E36" s="41" t="str">
        <x:v>Use Disk calls reloadSelectedFromDisk, snapshots before accepting, replaces editorText/lastLoadedText with disk content, clears the banner, and refreshes snapshots.</x:v>
      </x:c>
      <x:c r="F36" s="41" t="str">
        <x:v>Sources/Graft/Views/ContentView.swift; Sources/Graft/Stores/WorkspaceStore.swift:reloadSelectedFromDisk</x:v>
      </x:c>
      <x:c r="G36" s="41" t="str">
        <x:v>App observation</x:v>
      </x:c>
      <x:c r="H36" s="41" t="str">
        <x:v>P1</x:v>
      </x:c>
      <x:c r="I36" s="41" t="str">
        <x:v>Pass</x:v>
      </x:c>
      <x:c r="J36" s="41" t="str"/>
      <x:c r="K36" s="41" t="str">
        <x:v>Retest Pass</x:v>
      </x:c>
      <x:c r="L36" s="41" t="str">
        <x:v>Code audit: Use Disk calls reloadSelectedFromDisk and replaces editor text with disk content</x:v>
      </x:c>
    </x:row>
    <x:row r="37" ht="76" customHeight="1">
      <x:c r="A37" s="41" t="str">
        <x:v>APP-036</x:v>
      </x:c>
      <x:c r="B37" s="41" t="str">
        <x:v>macOS App</x:v>
      </x:c>
      <x:c r="C37" s="41" t="str">
        <x:v>Keep Mine conflict action</x:v>
      </x:c>
      <x:c r="D37" s="41" t="str">
        <x:v>As a writer, I want to keep my local version during an external-change conflict.</x:v>
      </x:c>
      <x:c r="E37" s="41" t="str">
        <x:v>Keep Mine calls saveCurrentDocument and clears the banner, writing local editorText to disk.</x:v>
      </x:c>
      <x:c r="F37" s="41" t="str">
        <x:v>Sources/Graft/Views/ContentView.swift; Sources/Graft/Stores/WorkspaceStore.swift:keepLocalVersion</x:v>
      </x:c>
      <x:c r="G37" s="41" t="str">
        <x:v>App observation</x:v>
      </x:c>
      <x:c r="H37" s="41" t="str">
        <x:v>P1</x:v>
      </x:c>
      <x:c r="I37" s="41" t="str">
        <x:v>Pass</x:v>
      </x:c>
      <x:c r="J37" s="41" t="str"/>
      <x:c r="K37" s="41" t="str">
        <x:v>Retest Pass</x:v>
      </x:c>
      <x:c r="L37" s="41" t="str">
        <x:v>Code audit: Keep Mine calls saveCurrentDocument and clears the conflict banner</x:v>
      </x:c>
    </x:row>
    <x:row r="38" ht="76" customHeight="1">
      <x:c r="A38" s="41" t="str">
        <x:v>APP-037</x:v>
      </x:c>
      <x:c r="B38" s="41" t="str">
        <x:v>macOS App</x:v>
      </x:c>
      <x:c r="C38" s="41" t="str">
        <x:v>Dismiss conflict banner</x:v>
      </x:c>
      <x:c r="D38" s="41" t="str">
        <x:v>As a writer, I want to dismiss the external-change banner.</x:v>
      </x:c>
      <x:c r="E38" s="41" t="str">
        <x:v>The xmark button sets externalChangeBanner to nil.</x:v>
      </x:c>
      <x:c r="F38" s="41" t="str">
        <x:v>Sources/Graft/Views/ContentView.swift:ExternalChangeBanner</x:v>
      </x:c>
      <x:c r="G38" s="41" t="str">
        <x:v>App observation</x:v>
      </x:c>
      <x:c r="H38" s="41" t="str">
        <x:v>P3</x:v>
      </x:c>
      <x:c r="I38" s="41" t="str">
        <x:v>Pass</x:v>
      </x:c>
      <x:c r="J38" s="41" t="str"/>
      <x:c r="K38" s="41" t="str">
        <x:v>Retest Pass</x:v>
      </x:c>
      <x:c r="L38" s="41" t="str">
        <x:v>Code audit: banner xmark sets externalChangeBanner to nil</x:v>
      </x:c>
    </x:row>
    <x:row r="39" ht="76" customHeight="1">
      <x:c r="A39" s="41" t="str">
        <x:v>APP-038</x:v>
      </x:c>
      <x:c r="B39" s="41" t="str">
        <x:v>macOS App</x:v>
      </x:c>
      <x:c r="C39" s="41" t="str">
        <x:v>Nonselected external change</x:v>
      </x:c>
      <x:c r="D39" s="41" t="str">
        <x:v>As a writer, I want the app to notice when another Markdown file changes.</x:v>
      </x:c>
      <x:c r="E39" s="41" t="str">
        <x:v>When FileWatcher sees a nonselected file, handleExternalChange reloads the file list and updates the first agent status/detail to Changed.</x:v>
      </x:c>
      <x:c r="F39" s="41" t="str">
        <x:v>Sources/Graft/Stores/WorkspaceStore.swift:handleExternalChange</x:v>
      </x:c>
      <x:c r="G39" s="41" t="str">
        <x:v>Filesystem/app observation</x:v>
      </x:c>
      <x:c r="H39" s="41" t="str">
        <x:v>P2</x:v>
      </x:c>
      <x:c r="I39" s="41" t="str">
        <x:v>Pass</x:v>
      </x:c>
      <x:c r="J39" s="41" t="str"/>
      <x:c r="K39" s="41" t="str">
        <x:v>Retest Pass</x:v>
      </x:c>
      <x:c r="L39" s="41" t="str">
        <x:v>Code audit: nonselected external changes reload file list and update agent status to Changed</x:v>
      </x:c>
    </x:row>
    <x:row r="40" ht="76" customHeight="1">
      <x:c r="A40" s="41" t="str">
        <x:v>APP-039</x:v>
      </x:c>
      <x:c r="B40" s="41" t="str">
        <x:v>macOS App</x:v>
      </x:c>
      <x:c r="C40" s="41" t="str">
        <x:v>External-change setting</x:v>
      </x:c>
      <x:c r="D40" s="41" t="str">
        <x:v>As a writer, I want to disable external-change surfacing.</x:v>
      </x:c>
      <x:c r="E40" s="41" t="str">
        <x:v>Settings toggles externalChangeDetectionEnabled; handleExternalChange returns early when disabled.</x:v>
      </x:c>
      <x:c r="F40" s="41" t="str">
        <x:v>Sources/Graft/App/SettingsView.swift; Sources/Graft/Stores/WorkspaceStore.swift:handleExternalChange</x:v>
      </x:c>
      <x:c r="G40" s="41" t="str">
        <x:v>App observation</x:v>
      </x:c>
      <x:c r="H40" s="41" t="str">
        <x:v>P2</x:v>
      </x:c>
      <x:c r="I40" s="41" t="str">
        <x:v>Pass</x:v>
      </x:c>
      <x:c r="J40" s="41" t="str"/>
      <x:c r="K40" s="41" t="str">
        <x:v>Retest Pass</x:v>
      </x:c>
      <x:c r="L40" s="41" t="str">
        <x:v>Code audit: externalChangeDetectionEnabled guard exits before surfacing changes</x:v>
      </x:c>
    </x:row>
    <x:row r="41" ht="76" customHeight="1">
      <x:c r="A41" s="41" t="str">
        <x:v>APP-040</x:v>
      </x:c>
      <x:c r="B41" s="41" t="str">
        <x:v>macOS App</x:v>
      </x:c>
      <x:c r="C41" s="41" t="str">
        <x:v>Inspector visibility</x:v>
      </x:c>
      <x:c r="D41" s="41" t="str">
        <x:v>As a user, I want to show or hide the inspector.</x:v>
      </x:c>
      <x:c r="E41" s="41" t="str">
        <x:v>Toolbar Inspector button and View menu shortcut toggle workspace.isInspectorVisible.</x:v>
      </x:c>
      <x:c r="F41" s="41" t="str">
        <x:v>Sources/Graft/Views/ContentView.swift; Sources/Graft/App/GraftCommands.swift</x:v>
      </x:c>
      <x:c r="G41" s="41" t="str">
        <x:v>App observation</x:v>
      </x:c>
      <x:c r="H41" s="41" t="str">
        <x:v>P2</x:v>
      </x:c>
      <x:c r="I41" s="41" t="str">
        <x:v>Pass</x:v>
      </x:c>
      <x:c r="J41" s="41" t="str"/>
      <x:c r="K41" s="41" t="str">
        <x:v>Retest Pass</x:v>
      </x:c>
      <x:c r="L41" s="41" t="str">
        <x:v>Code audit and final screenshot: toolbar/menu toggle inspector visibility</x:v>
      </x:c>
    </x:row>
    <x:row r="42" ht="76" customHeight="1">
      <x:c r="A42" s="41" t="str">
        <x:v>APP-041</x:v>
      </x:c>
      <x:c r="B42" s="41" t="str">
        <x:v>macOS App</x:v>
      </x:c>
      <x:c r="C42" s="41" t="str">
        <x:v>Inspector tabs</x:v>
      </x:c>
      <x:c r="D42" s="41" t="str">
        <x:v>As a user, I want History, Share, and Agents panels in the inspector.</x:v>
      </x:c>
      <x:c r="E42" s="41" t="str">
        <x:v>InspectorView segmented picker switches between HistoryView, ShareView, and AgentsPanel.</x:v>
      </x:c>
      <x:c r="F42" s="41" t="str">
        <x:v>Sources/Graft/Views/InspectorView.swift</x:v>
      </x:c>
      <x:c r="G42" s="41" t="str">
        <x:v>App observation</x:v>
      </x:c>
      <x:c r="H42" s="41" t="str">
        <x:v>P2</x:v>
      </x:c>
      <x:c r="I42" s="41" t="str">
        <x:v>Pass</x:v>
      </x:c>
      <x:c r="J42" s="41" t="str"/>
      <x:c r="K42" s="41" t="str">
        <x:v>Retest Pass</x:v>
      </x:c>
      <x:c r="L42" s="41" t="str">
        <x:v>Code audit: InspectorView segmented picker switches History, Share, and Agents panels</x:v>
      </x:c>
    </x:row>
    <x:row r="43" ht="76" customHeight="1">
      <x:c r="A43" s="41" t="str">
        <x:v>APP-042</x:v>
      </x:c>
      <x:c r="B43" s="41" t="str">
        <x:v>macOS App</x:v>
      </x:c>
      <x:c r="C43" s="41" t="str">
        <x:v>Agent panel</x:v>
      </x:c>
      <x:c r="D43" s="41" t="str">
        <x:v>As a user, I want to see agent activity and the CLI sync contract.</x:v>
      </x:c>
      <x:c r="E43" s="41" t="str">
        <x:v>AgentsPanel renders static AgentActivity rows and commands for status, snapshot, apply, and the local skill.</x:v>
      </x:c>
      <x:c r="F43" s="41" t="str">
        <x:v>Sources/Graft/Views/InspectorView.swift; Sources/Graft/Stores/WorkspaceStore.swift:agents</x:v>
      </x:c>
      <x:c r="G43" s="41" t="str">
        <x:v>App observation</x:v>
      </x:c>
      <x:c r="H43" s="41" t="str">
        <x:v>P3</x:v>
      </x:c>
      <x:c r="I43" s="41" t="str">
        <x:v>Pass</x:v>
      </x:c>
      <x:c r="J43" s="41" t="str"/>
      <x:c r="K43" s="41" t="str">
        <x:v>Retest Pass</x:v>
      </x:c>
      <x:c r="L43" s="41" t="str">
        <x:v>Code audit and final screenshot: agent activity/status strip are rendered</x:v>
      </x:c>
    </x:row>
    <x:row r="44" ht="76" customHeight="1">
      <x:c r="A44" s="41" t="str">
        <x:v>APP-043</x:v>
      </x:c>
      <x:c r="B44" s="41" t="str">
        <x:v>macOS App</x:v>
      </x:c>
      <x:c r="C44" s="41" t="str">
        <x:v>Share invite list</x:v>
      </x:c>
      <x:c r="D44" s="41" t="str">
        <x:v>As a user, I want invited collaborators to appear in the Share panel.</x:v>
      </x:c>
      <x:c r="E44" s="41" t="str">
        <x:v>ShareView renders workspace.invites with email, role, compose, and remove actions.</x:v>
      </x:c>
      <x:c r="F44" s="41" t="str">
        <x:v>Sources/Graft/Views/ShareView.swift; Sources/Graft/Models/Invite.swift</x:v>
      </x:c>
      <x:c r="G44" s="41" t="str">
        <x:v>App/filesystem observation</x:v>
      </x:c>
      <x:c r="H44" s="41" t="str">
        <x:v>P2</x:v>
      </x:c>
      <x:c r="I44" s="41" t="str">
        <x:v>Retest Pass</x:v>
      </x:c>
      <x:c r="J44" s="41" t="str">
        <x:v>ISS-007</x:v>
      </x:c>
      <x:c r="K44" s="41" t="str">
        <x:v>Retest Pass</x:v>
      </x:c>
      <x:c r="L44" s="41" t="str">
        <x:v>Regression runner verified persisted invites load without example seed data</x:v>
      </x:c>
    </x:row>
    <x:row r="45" ht="76" customHeight="1">
      <x:c r="A45" s="41" t="str">
        <x:v>APP-044</x:v>
      </x:c>
      <x:c r="B45" s="41" t="str">
        <x:v>macOS App</x:v>
      </x:c>
      <x:c r="C45" s="41" t="str">
        <x:v>Add invite</x:v>
      </x:c>
      <x:c r="D45" s="41" t="str">
        <x:v>As a user, I want to add an email invite intent with a role.</x:v>
      </x:c>
      <x:c r="E45" s="41" t="str">
        <x:v>addInvite currently appends non-empty email text with selected role and writes invites.json.</x:v>
      </x:c>
      <x:c r="F45" s="41" t="str">
        <x:v>Sources/Graft/Views/ShareView.swift; Sources/Graft/Stores/WorkspaceStore.swift:addInvite</x:v>
      </x:c>
      <x:c r="G45" s="41" t="str">
        <x:v>App/filesystem observation</x:v>
      </x:c>
      <x:c r="H45" s="41" t="str">
        <x:v>P2</x:v>
      </x:c>
      <x:c r="I45" s="41" t="str">
        <x:v>Retest Pass</x:v>
      </x:c>
      <x:c r="J45" s="41" t="str">
        <x:v>ISS-008</x:v>
      </x:c>
      <x:c r="K45" s="41" t="str">
        <x:v>Retest Pass</x:v>
      </x:c>
      <x:c r="L45" s="41" t="str">
        <x:v>Regression runner verified invalid and duplicate invites are rejected</x:v>
      </x:c>
    </x:row>
    <x:row r="46" ht="76" customHeight="1">
      <x:c r="A46" s="41" t="str">
        <x:v>APP-045</x:v>
      </x:c>
      <x:c r="B46" s="41" t="str">
        <x:v>macOS App</x:v>
      </x:c>
      <x:c r="C46" s="41" t="str">
        <x:v>Invite roles</x:v>
      </x:c>
      <x:c r="D46" s="41" t="str">
        <x:v>As a user, I want Viewer, Commenter, and Editor roles.</x:v>
      </x:c>
      <x:c r="E46" s="41" t="str">
        <x:v>InviteRole has viewer, commenter, and editor cases; ShareView uses a segmented picker.</x:v>
      </x:c>
      <x:c r="F46" s="41" t="str">
        <x:v>Sources/Graft/Models/Invite.swift; Sources/Graft/Views/ShareView.swift</x:v>
      </x:c>
      <x:c r="G46" s="41" t="str">
        <x:v>App observation</x:v>
      </x:c>
      <x:c r="H46" s="41" t="str">
        <x:v>P3</x:v>
      </x:c>
      <x:c r="I46" s="41" t="str">
        <x:v>Pass</x:v>
      </x:c>
      <x:c r="J46" s="41" t="str"/>
      <x:c r="K46" s="41" t="str">
        <x:v>Retest Pass</x:v>
      </x:c>
      <x:c r="L46" s="41" t="str">
        <x:v>Code audit: InviteRole exposes viewer/commenter/editor</x:v>
      </x:c>
    </x:row>
    <x:row r="47" ht="76" customHeight="1">
      <x:c r="A47" s="41" t="str">
        <x:v>APP-046</x:v>
      </x:c>
      <x:c r="B47" s="41" t="str">
        <x:v>macOS App</x:v>
      </x:c>
      <x:c r="C47" s="41" t="str">
        <x:v>Remove invite</x:v>
      </x:c>
      <x:c r="D47" s="41" t="str">
        <x:v>As a user, I want to remove stale invite intents.</x:v>
      </x:c>
      <x:c r="E47" s="41" t="str">
        <x:v>removeInvite removes by UUID and rewrites .pagepacket/shares/invites.json.</x:v>
      </x:c>
      <x:c r="F47" s="41" t="str">
        <x:v>Sources/Graft/Stores/WorkspaceStore.swift:removeInvite</x:v>
      </x:c>
      <x:c r="G47" s="41" t="str">
        <x:v>App/filesystem observation</x:v>
      </x:c>
      <x:c r="H47" s="41" t="str">
        <x:v>P2</x:v>
      </x:c>
      <x:c r="I47" s="41" t="str">
        <x:v>Pass</x:v>
      </x:c>
      <x:c r="J47" s="41" t="str"/>
      <x:c r="K47" s="41" t="str">
        <x:v>Retest Pass</x:v>
      </x:c>
      <x:c r="L47" s="41" t="str">
        <x:v>Code audit: removeInvite removes by id and rewrites manifest</x:v>
      </x:c>
    </x:row>
    <x:row r="48" ht="76" customHeight="1">
      <x:c r="A48" s="41" t="str">
        <x:v>APP-047</x:v>
      </x:c>
      <x:c r="B48" s="41" t="str">
        <x:v>macOS App</x:v>
      </x:c>
      <x:c r="C48" s="41" t="str">
        <x:v>Compose invite email</x:v>
      </x:c>
      <x:c r="D48" s="41" t="str">
        <x:v>As a user, I want to open a mail draft for an invite.</x:v>
      </x:c>
      <x:c r="E48" s="41" t="str">
        <x:v>composeEmail writes the manifest, builds a mailto URL with subject/body, and opens it through NSWorkspace.</x:v>
      </x:c>
      <x:c r="F48" s="41" t="str">
        <x:v>Sources/Graft/Stores/WorkspaceStore.swift:composeEmail</x:v>
      </x:c>
      <x:c r="G48" s="41" t="str">
        <x:v>Code audit/app observation with no send action</x:v>
      </x:c>
      <x:c r="H48" s="41" t="str">
        <x:v>P2</x:v>
      </x:c>
      <x:c r="I48" s="41" t="str">
        <x:v>Pass</x:v>
      </x:c>
      <x:c r="J48" s="41" t="str"/>
      <x:c r="K48" s="41" t="str">
        <x:v>Retest Pass</x:v>
      </x:c>
      <x:c r="L48" s="41" t="str">
        <x:v>Code audit only; no email send action performed</x:v>
      </x:c>
    </x:row>
    <x:row r="49" ht="76" customHeight="1">
      <x:c r="A49" s="41" t="str">
        <x:v>APP-048</x:v>
      </x:c>
      <x:c r="B49" s="41" t="str">
        <x:v>macOS App</x:v>
      </x:c>
      <x:c r="C49" s="41" t="str">
        <x:v>Settings</x:v>
      </x:c>
      <x:c r="D49" s="41" t="str">
        <x:v>As a user, I want a native settings window for editor and workspace preferences.</x:v>
      </x:c>
      <x:c r="E49" s="41" t="str">
        <x:v>Settings scene shows Autosave, font size, external change toggle, and read-only sidecar/assets folder labels.</x:v>
      </x:c>
      <x:c r="F49" s="41" t="str">
        <x:v>Sources/Graft/App/GraftApp.swift; Sources/Graft/App/SettingsView.swift</x:v>
      </x:c>
      <x:c r="G49" s="41" t="str">
        <x:v>App observation</x:v>
      </x:c>
      <x:c r="H49" s="41" t="str">
        <x:v>P3</x:v>
      </x:c>
      <x:c r="I49" s="41" t="str">
        <x:v>Pass</x:v>
      </x:c>
      <x:c r="J49" s="41" t="str"/>
      <x:c r="K49" s="41" t="str">
        <x:v>Retest Pass</x:v>
      </x:c>
      <x:c r="L49" s="41" t="str">
        <x:v>Code audit: Settings scene exposes autosave, font size, external-change toggle, and sidecar labels</x:v>
      </x:c>
    </x:row>
    <x:row r="50" ht="76" customHeight="1">
      <x:c r="A50" s="41" t="str">
        <x:v>APP-049</x:v>
      </x:c>
      <x:c r="B50" s="41" t="str">
        <x:v>macOS App</x:v>
      </x:c>
      <x:c r="C50" s="41" t="str">
        <x:v>Command menu</x:v>
      </x:c>
      <x:c r="D50" s="41" t="str">
        <x:v>As a keyboard user, I want menu actions for common tasks.</x:v>
      </x:c>
      <x:c r="E50" s="41" t="str">
        <x:v>Commands add Open Workspace, Save Document, Snapshot Version, editor mode picker, and Toggle Inspector with shortcuts.</x:v>
      </x:c>
      <x:c r="F50" s="41" t="str">
        <x:v>Sources/Graft/App/GraftCommands.swift</x:v>
      </x:c>
      <x:c r="G50" s="41" t="str">
        <x:v>App/menu observation</x:v>
      </x:c>
      <x:c r="H50" s="41" t="str">
        <x:v>P2</x:v>
      </x:c>
      <x:c r="I50" s="41" t="str">
        <x:v>Pass</x:v>
      </x:c>
      <x:c r="J50" s="41" t="str"/>
      <x:c r="K50" s="41" t="str">
        <x:v>Retest Pass</x:v>
      </x:c>
      <x:c r="L50" s="41" t="str">
        <x:v>Code audit: GraftCommands wires open, save, snapshot, editor mode, and inspector shortcuts</x:v>
      </x:c>
    </x:row>
    <x:row r="51" ht="76" customHeight="1">
      <x:c r="A51" s="41" t="str">
        <x:v>APP-050</x:v>
      </x:c>
      <x:c r="B51" s="41" t="str">
        <x:v>macOS App</x:v>
      </x:c>
      <x:c r="C51" s="41" t="str">
        <x:v>Build and run script</x:v>
      </x:c>
      <x:c r="D51" s="41" t="str">
        <x:v>As a developer, I want one command to build, bundle, launch, and verify Pagepacket.</x:v>
      </x:c>
      <x:c r="E51" s="41" t="str">
        <x:v>script/build_and_run.sh kills Pagepacket, runs swift build, stages dist/Pagepacket.app with Info.plist/resources, opens it, and supports --verify.</x:v>
      </x:c>
      <x:c r="F51" s="41" t="str">
        <x:v>script/build_and_run.sh; .codex/environments/environment.toml</x:v>
      </x:c>
      <x:c r="G51" s="41" t="str">
        <x:v>Command smoke</x:v>
      </x:c>
      <x:c r="H51" s="41" t="str">
        <x:v>P1</x:v>
      </x:c>
      <x:c r="I51" s="41" t="str">
        <x:v>Needs Fix</x:v>
      </x:c>
      <x:c r="J51" s="41" t="str">
        <x:v>ISS-017</x:v>
      </x:c>
      <x:c r="K51" s="41" t="str">
        <x:v>Retest Fail</x:v>
      </x:c>
      <x:c r="L51" s="41" t="str">
        <x:v>./script/build_and_run.sh --verify passes process check but LaunchServices window remains zero-sized</x:v>
      </x:c>
    </x:row>
    <x:row r="52" ht="76" customHeight="1">
      <x:c r="A52" s="41" t="str">
        <x:v>APP-051</x:v>
      </x:c>
      <x:c r="B52" s="41" t="str">
        <x:v>macOS App</x:v>
      </x:c>
      <x:c r="C52" s="41" t="str">
        <x:v>Readable app appearance</x:v>
      </x:c>
      <x:c r="D52" s="41" t="str">
        <x:v>As a user on a dark system appearance, I want Pagepacket's cream UI to keep readable dark text.</x:v>
      </x:c>
      <x:c r="E52" s="41" t="str">
        <x:v>The app should force a light SwiftUI color scheme for its cream canvas and use explicit body color in editor/preview text.</x:v>
      </x:c>
      <x:c r="F52" s="41" t="str">
        <x:v>Sources/Graft/App/GraftApp.swift; Sources/Graft/Views/MarkdownEditorView.swift; Sources/Graft/Views/MarkdownPreviewView.swift</x:v>
      </x:c>
      <x:c r="G52" s="41" t="str">
        <x:v>Window screenshot retest</x:v>
      </x:c>
      <x:c r="H52" s="41" t="str">
        <x:v>P1</x:v>
      </x:c>
      <x:c r="I52" s="41" t="str">
        <x:v>Retest Pass</x:v>
      </x:c>
      <x:c r="J52" s="41" t="str">
        <x:v>ISS-012</x:v>
      </x:c>
      <x:c r="K52" s="41" t="str">
        <x:v>Retest Pass</x:v>
      </x:c>
      <x:c r="L52" s="41" t="str">
        <x:v>Final app window screenshot shows readable editor and preview text.</x:v>
      </x:c>
    </x:row>
    <x:row r="53" ht="76" customHeight="1">
      <x:c r="A53" s="41" t="str">
        <x:v>APP-052</x:v>
      </x:c>
      <x:c r="B53" s="41" t="str">
        <x:v>macOS App</x:v>
      </x:c>
      <x:c r="C53" s="41" t="str">
        <x:v>Before-save history restores disk version</x:v>
      </x:c>
      <x:c r="D53" s="41" t="str">
        <x:v>As a writer, I want the before-save snapshot to recover the file version that Save overwrote.</x:v>
      </x:c>
      <x:c r="E53" s="41" t="str">
        <x:v>saveCurrentDocument should snapshot lastLoadedText before writing editorText, and restoreContent should strip front matter robustly.</x:v>
      </x:c>
      <x:c r="F53" s="41" t="str">
        <x:v>Sources/Graft/Stores/WorkspaceStore.swift:saveCurrentDocument; Sources/Graft/Services/VersionHistoryStore.swift:restoreContent</x:v>
      </x:c>
      <x:c r="G53" s="41" t="str">
        <x:v>Regression runner</x:v>
      </x:c>
      <x:c r="H53" s="41" t="str">
        <x:v>P1</x:v>
      </x:c>
      <x:c r="I53" s="41" t="str">
        <x:v>Retest Pass</x:v>
      </x:c>
      <x:c r="J53" s="41" t="str">
        <x:v>ISS-014; ISS-015</x:v>
      </x:c>
      <x:c r="K53" s="41" t="str">
        <x:v>Retest Pass</x:v>
      </x:c>
      <x:c r="L53" s="41" t="str">
        <x:v>Tests/run_regression_checks.sh</x:v>
      </x:c>
    </x:row>
    <x:row r="54" ht="76" customHeight="1">
      <x:c r="A54" s="41" t="str">
        <x:v>APP-053</x:v>
      </x:c>
      <x:c r="B54" s="41" t="str">
        <x:v>macOS App</x:v>
      </x:c>
      <x:c r="C54" s="41" t="str">
        <x:v>Editor wraps long Markdown lines</x:v>
      </x:c>
      <x:c r="D54" s="41" t="str">
        <x:v>As a writer in split mode, I want long Markdown lines to stay visible without horizontal scrolling.</x:v>
      </x:c>
      <x:c r="E54" s="41" t="str">
        <x:v>The editor should use a wrapping native text view with no horizontal scroller, preserving binding updates and autosave.</x:v>
      </x:c>
      <x:c r="F54" s="41" t="str">
        <x:v>Sources/Graft/Views/MarkdownEditorView.swift</x:v>
      </x:c>
      <x:c r="G54" s="41" t="str">
        <x:v>Window screenshot retest</x:v>
      </x:c>
      <x:c r="H54" s="41" t="str">
        <x:v>P1</x:v>
      </x:c>
      <x:c r="I54" s="41" t="str">
        <x:v>Retest Pass</x:v>
      </x:c>
      <x:c r="J54" s="41" t="str">
        <x:v>ISS-016</x:v>
      </x:c>
      <x:c r="K54" s="41" t="str">
        <x:v>Retest Pass</x:v>
      </x:c>
      <x:c r="L54" s="41" t="str">
        <x:v>Final app window screenshot after post-fix pass</x:v>
      </x:c>
    </x:row>
    <x:row r="55" ht="76" customHeight="1">
      <x:c r="A55" s="41" t="str">
        <x:v>APP-054</x:v>
      </x:c>
      <x:c r="B55" s="41" t="str">
        <x:v>macOS App</x:v>
      </x:c>
      <x:c r="C55" s="41" t="str">
        <x:v>Readable startup layout</x:v>
      </x:c>
      <x:c r="D55" s="41" t="str">
        <x:v>As a writer opening Pagepacket on a laptop-width display, I want the first window to show editable text without clipped split panes.</x:v>
      </x:c>
      <x:c r="E55" s="41" t="str">
        <x:v>WorkspaceStore should start in Edit mode with the inspector hidden so the first launch fits the available window width; Split and Inspector remain toolbar/menu actions.</x:v>
      </x:c>
      <x:c r="F55" s="41" t="str">
        <x:v>Sources/Graft/Stores/WorkspaceStore.swift; Sources/Graft/App/GraftApp.swift</x:v>
      </x:c>
      <x:c r="G55" s="41" t="str">
        <x:v>Window screenshot retest</x:v>
      </x:c>
      <x:c r="H55" s="41" t="str">
        <x:v>P1</x:v>
      </x:c>
      <x:c r="I55" s="41" t="str">
        <x:v>Retest Pass</x:v>
      </x:c>
      <x:c r="J55" s="41" t="str">
        <x:v>ISS-018</x:v>
      </x:c>
      <x:c r="K55" s="41" t="str">
        <x:v>Retest Pass</x:v>
      </x:c>
      <x:c r="L55" s="41" t="str">
        <x:v>Direct executable window screenshot shows full editor text with sidebar and no clipping.</x:v>
      </x:c>
    </x:row>
    <x:row r="56" ht="76" customHeight="1">
      <x:c r="A56" s="41" t="str">
        <x:v>CLI-001</x:v>
      </x:c>
      <x:c r="B56" s="41" t="str">
        <x:v>CLI</x:v>
      </x:c>
      <x:c r="C56" s="41" t="str">
        <x:v>CLI usage</x:v>
      </x:c>
      <x:c r="D56" s="41" t="str">
        <x:v>As an agent, I want usage output when I run the CLI without a known command.</x:v>
      </x:c>
      <x:c r="E56" s="41" t="str">
        <x:v>PagepacketCLI.main prints usage when no command or an unknown command is passed.</x:v>
      </x:c>
      <x:c r="F56" s="41" t="str">
        <x:v>Sources/GraftCLI/main.swift:main,printUsage</x:v>
      </x:c>
      <x:c r="G56" s="41" t="str">
        <x:v>Command smoke</x:v>
      </x:c>
      <x:c r="H56" s="41" t="str">
        <x:v>P2</x:v>
      </x:c>
      <x:c r="I56" s="41" t="str">
        <x:v>Pass</x:v>
      </x:c>
      <x:c r="J56" s="41" t="str"/>
      <x:c r="K56" s="41" t="str">
        <x:v>Retest Pass</x:v>
      </x:c>
      <x:c r="L56" s="41" t="str">
        <x:v>Final CLI usage smoke</x:v>
      </x:c>
    </x:row>
    <x:row r="57" ht="76" customHeight="1">
      <x:c r="A57" s="41" t="str">
        <x:v>CLI-002</x:v>
      </x:c>
      <x:c r="B57" s="41" t="str">
        <x:v>CLI</x:v>
      </x:c>
      <x:c r="C57" s="41" t="str">
        <x:v>Vault status</x:v>
      </x:c>
      <x:c r="D57" s="41" t="str">
        <x:v>As an agent, I want to inspect a vault before editing.</x:v>
      </x:c>
      <x:c r="E57" s="41" t="str">
        <x:v>status prints vault path, Markdown file count, sidecar path, and up to 12 relative Markdown file paths.</x:v>
      </x:c>
      <x:c r="F57" s="41" t="str">
        <x:v>Sources/GraftCLI/main.swift:status,markdownFiles</x:v>
      </x:c>
      <x:c r="G57" s="41" t="str">
        <x:v>Command smoke</x:v>
      </x:c>
      <x:c r="H57" s="41" t="str">
        <x:v>P1</x:v>
      </x:c>
      <x:c r="I57" s="41" t="str">
        <x:v>Retest Pass</x:v>
      </x:c>
      <x:c r="J57" s="41" t="str">
        <x:v>ISS-013</x:v>
      </x:c>
      <x:c r="K57" s="41" t="str">
        <x:v>Retest Pass</x:v>
      </x:c>
      <x:c r="L57" s="41" t="str">
        <x:v>Final CLI status smoke</x:v>
      </x:c>
    </x:row>
    <x:row r="58" ht="76" customHeight="1">
      <x:c r="A58" s="41" t="str">
        <x:v>CLI-003</x:v>
      </x:c>
      <x:c r="B58" s="41" t="str">
        <x:v>CLI</x:v>
      </x:c>
      <x:c r="C58" s="41" t="str">
        <x:v>Status missing vault</x:v>
      </x:c>
      <x:c r="D58" s="41" t="str">
        <x:v>As an agent, I want clear feedback when I omit the vault path.</x:v>
      </x:c>
      <x:c r="E58" s="41" t="str">
        <x:v>status without args prints missing vault path.</x:v>
      </x:c>
      <x:c r="F58" s="41" t="str">
        <x:v>Sources/GraftCLI/main.swift:status</x:v>
      </x:c>
      <x:c r="G58" s="41" t="str">
        <x:v>Command smoke</x:v>
      </x:c>
      <x:c r="H58" s="41" t="str">
        <x:v>P3</x:v>
      </x:c>
      <x:c r="I58" s="41" t="str">
        <x:v>Pass</x:v>
      </x:c>
      <x:c r="J58" s="41" t="str"/>
      <x:c r="K58" s="41" t="str">
        <x:v>Retest Pass</x:v>
      </x:c>
      <x:c r="L58" s="41" t="str">
        <x:v>Initial CLI missing-vault smoke</x:v>
      </x:c>
    </x:row>
    <x:row r="59" ht="76" customHeight="1">
      <x:c r="A59" s="41" t="str">
        <x:v>CLI-004</x:v>
      </x:c>
      <x:c r="B59" s="41" t="str">
        <x:v>CLI</x:v>
      </x:c>
      <x:c r="C59" s="41" t="str">
        <x:v>CLI snapshot</x:v>
      </x:c>
      <x:c r="D59" s="41" t="str">
        <x:v>As an agent, I want to checkpoint a file before broad edits.</x:v>
      </x:c>
      <x:c r="E59" s="41" t="str">
        <x:v>snapshot &lt;vault&gt; &lt;file&gt; writes a .pagepacket/history/&lt;safe-file&gt;/&lt;timestamp&gt;.md with pagepacket front matter and source pagepacket-cli.</x:v>
      </x:c>
      <x:c r="F59" s="41" t="str">
        <x:v>Sources/GraftCLI/main.swift:snapshot,writeSnapshot</x:v>
      </x:c>
      <x:c r="G59" s="41" t="str">
        <x:v>Command/filesystem smoke</x:v>
      </x:c>
      <x:c r="H59" s="41" t="str">
        <x:v>P1</x:v>
      </x:c>
      <x:c r="I59" s="41" t="str">
        <x:v>Pass</x:v>
      </x:c>
      <x:c r="J59" s="41" t="str"/>
      <x:c r="K59" s="41" t="str">
        <x:v>Retest Pass</x:v>
      </x:c>
      <x:c r="L59" s="41" t="str">
        <x:v>Final CLI snapshot smoke</x:v>
      </x:c>
    </x:row>
    <x:row r="60" ht="76" customHeight="1">
      <x:c r="A60" s="41" t="str">
        <x:v>CLI-005</x:v>
      </x:c>
      <x:c r="B60" s="41" t="str">
        <x:v>CLI</x:v>
      </x:c>
      <x:c r="C60" s="41" t="str">
        <x:v>CLI snapshot message</x:v>
      </x:c>
      <x:c r="D60" s="41" t="str">
        <x:v>As an agent, I want the checkpoint reason to preserve my message.</x:v>
      </x:c>
      <x:c r="E60" s="41" t="str">
        <x:v>snapshot uses --message value when provided and CLI checkpoint otherwise.</x:v>
      </x:c>
      <x:c r="F60" s="41" t="str">
        <x:v>Sources/GraftCLI/main.swift:snapshot,option</x:v>
      </x:c>
      <x:c r="G60" s="41" t="str">
        <x:v>Command/filesystem smoke</x:v>
      </x:c>
      <x:c r="H60" s="41" t="str">
        <x:v>P2</x:v>
      </x:c>
      <x:c r="I60" s="41" t="str">
        <x:v>Pass</x:v>
      </x:c>
      <x:c r="J60" s="41" t="str"/>
      <x:c r="K60" s="41" t="str">
        <x:v>Retest Pass</x:v>
      </x:c>
      <x:c r="L60" s="41" t="str">
        <x:v>Final CLI snapshot message smoke</x:v>
      </x:c>
    </x:row>
    <x:row r="61" ht="76" customHeight="1">
      <x:c r="A61" s="41" t="str">
        <x:v>CLI-006</x:v>
      </x:c>
      <x:c r="B61" s="41" t="str">
        <x:v>CLI</x:v>
      </x:c>
      <x:c r="C61" s="41" t="str">
        <x:v>CLI apply checkpoint</x:v>
      </x:c>
      <x:c r="D61" s="41" t="str">
        <x:v>As an agent, I want to register a completed external edit.</x:v>
      </x:c>
      <x:c r="E61" s="41" t="str">
        <x:v>apply &lt;vault&gt; &lt;file&gt; writes a snapshot reason Applied external edit by &lt;author&gt; with source set from --author or agent.</x:v>
      </x:c>
      <x:c r="F61" s="41" t="str">
        <x:v>Sources/GraftCLI/main.swift:apply,writeSnapshot</x:v>
      </x:c>
      <x:c r="G61" s="41" t="str">
        <x:v>Command/filesystem smoke</x:v>
      </x:c>
      <x:c r="H61" s="41" t="str">
        <x:v>P1</x:v>
      </x:c>
      <x:c r="I61" s="41" t="str">
        <x:v>Pass</x:v>
      </x:c>
      <x:c r="J61" s="41" t="str"/>
      <x:c r="K61" s="41" t="str">
        <x:v>Retest Pass</x:v>
      </x:c>
      <x:c r="L61" s="41" t="str">
        <x:v>CLI apply smoke from first loop</x:v>
      </x:c>
    </x:row>
    <x:row r="62" ht="76" customHeight="1">
      <x:c r="A62" s="41" t="str">
        <x:v>CLI-007</x:v>
      </x:c>
      <x:c r="B62" s="41" t="str">
        <x:v>CLI</x:v>
      </x:c>
      <x:c r="C62" s="41" t="str">
        <x:v>CLI history</x:v>
      </x:c>
      <x:c r="D62" s="41" t="str">
        <x:v>As an agent, I want to list checkpoints for a file.</x:v>
      </x:c>
      <x:c r="E62" s="41" t="str">
        <x:v>history &lt;vault&gt; &lt;file&gt; lists snapshot IDs from the file history folder sorted newest first.</x:v>
      </x:c>
      <x:c r="F62" s="41" t="str">
        <x:v>Sources/GraftCLI/main.swift:history</x:v>
      </x:c>
      <x:c r="G62" s="41" t="str">
        <x:v>Command smoke</x:v>
      </x:c>
      <x:c r="H62" s="41" t="str">
        <x:v>P1</x:v>
      </x:c>
      <x:c r="I62" s="41" t="str">
        <x:v>Pass</x:v>
      </x:c>
      <x:c r="J62" s="41" t="str"/>
      <x:c r="K62" s="41" t="str">
        <x:v>Retest Pass</x:v>
      </x:c>
      <x:c r="L62" s="41" t="str">
        <x:v>Final CLI history smoke and SampleVault legacy-history compatibility check</x:v>
      </x:c>
    </x:row>
    <x:row r="63" ht="76" customHeight="1">
      <x:c r="A63" s="41" t="str">
        <x:v>CLI-008</x:v>
      </x:c>
      <x:c r="B63" s="41" t="str">
        <x:v>CLI</x:v>
      </x:c>
      <x:c r="C63" s="41" t="str">
        <x:v>CLI no history</x:v>
      </x:c>
      <x:c r="D63" s="41" t="str">
        <x:v>As an agent, I want a clear no-history message.</x:v>
      </x:c>
      <x:c r="E63" s="41" t="str">
        <x:v>history prints No snapshots for &lt;file&gt; when the history folder is missing or unreadable.</x:v>
      </x:c>
      <x:c r="F63" s="41" t="str">
        <x:v>Sources/GraftCLI/main.swift:history</x:v>
      </x:c>
      <x:c r="G63" s="41" t="str">
        <x:v>Command smoke</x:v>
      </x:c>
      <x:c r="H63" s="41" t="str">
        <x:v>P3</x:v>
      </x:c>
      <x:c r="I63" s="41" t="str">
        <x:v>Pass</x:v>
      </x:c>
      <x:c r="J63" s="41" t="str"/>
      <x:c r="K63" s="41" t="str">
        <x:v>Retest Pass</x:v>
      </x:c>
      <x:c r="L63" s="41" t="str">
        <x:v>Final no-history smoke</x:v>
      </x:c>
    </x:row>
    <x:row r="64" ht="76" customHeight="1">
      <x:c r="A64" s="41" t="str">
        <x:v>CLI-009</x:v>
      </x:c>
      <x:c r="B64" s="41" t="str">
        <x:v>CLI</x:v>
      </x:c>
      <x:c r="C64" s="41" t="str">
        <x:v>CLI ignores sidecars</x:v>
      </x:c>
      <x:c r="D64" s="41" t="str">
        <x:v>As an agent, I want status to count only user Markdown files.</x:v>
      </x:c>
      <x:c r="E64" s="41" t="str">
        <x:v>markdownFiles excludes paths containing /.pagepacket/ or /.graft/.</x:v>
      </x:c>
      <x:c r="F64" s="41" t="str">
        <x:v>Sources/GraftCLI/main.swift:markdownFiles</x:v>
      </x:c>
      <x:c r="G64" s="41" t="str">
        <x:v>Command/filesystem smoke</x:v>
      </x:c>
      <x:c r="H64" s="41" t="str">
        <x:v>P2</x:v>
      </x:c>
      <x:c r="I64" s="41" t="str">
        <x:v>Pass</x:v>
      </x:c>
      <x:c r="J64" s="41" t="str"/>
      <x:c r="K64" s="41" t="str">
        <x:v>Retest Pass</x:v>
      </x:c>
      <x:c r="L64" s="41" t="str">
        <x:v>Final CLI status ignored .pagepacket hidden file</x:v>
      </x:c>
    </x:row>
    <x:row r="65" ht="76" customHeight="1">
      <x:c r="A65" s="41" t="str">
        <x:v>CLI-010</x:v>
      </x:c>
      <x:c r="B65" s="41" t="str">
        <x:v>CLI</x:v>
      </x:c>
      <x:c r="C65" s="41" t="str">
        <x:v>CLI history path isolation</x:v>
      </x:c>
      <x:c r="D65" s="41" t="str">
        <x:v>As an agent, I want snapshots for similarly named paths to stay separate.</x:v>
      </x:c>
      <x:c r="E65" s="41" t="str">
        <x:v>Current CLI safeName shares the same collision risk as the app history store.</x:v>
      </x:c>
      <x:c r="F65" s="41" t="str">
        <x:v>Sources/GraftCLI/main.swift:safeName</x:v>
      </x:c>
      <x:c r="G65" s="41" t="str">
        <x:v>Command regression smoke</x:v>
      </x:c>
      <x:c r="H65" s="41" t="str">
        <x:v>P1</x:v>
      </x:c>
      <x:c r="I65" s="41" t="str">
        <x:v>Retest Pass</x:v>
      </x:c>
      <x:c r="J65" s="41" t="str">
        <x:v>ISS-009</x:v>
      </x:c>
      <x:c r="K65" s="41" t="str">
        <x:v>Retest Pass</x:v>
      </x:c>
      <x:c r="L65" s="41" t="str">
        <x:v>Final CLI collision smoke wrote separate folders</x:v>
      </x:c>
    </x:row>
    <x:row r="66" ht="76" customHeight="1">
      <x:c r="A66" s="41" t="str">
        <x:v>CLI-011</x:v>
      </x:c>
      <x:c r="B66" s="41" t="str">
        <x:v>CLI</x:v>
      </x:c>
      <x:c r="C66" s="41" t="str">
        <x:v>CLI normalized relative paths</x:v>
      </x:c>
      <x:c r="D66" s="41" t="str">
        <x:v>As an agent running against /tmp or symlinked folders, I want status output to show clean workspace-relative paths.</x:v>
      </x:c>
      <x:c r="E66" s="41" t="str">
        <x:v>status should normalize vault and file URLs before deriving relative paths so /private/tmp does not leak into output.</x:v>
      </x:c>
      <x:c r="F66" s="41" t="str">
        <x:v>Sources/GraftCLI/main.swift:status,markdownFiles,relativePath</x:v>
      </x:c>
      <x:c r="G66" s="41" t="str">
        <x:v>Command regression smoke</x:v>
      </x:c>
      <x:c r="H66" s="41" t="str">
        <x:v>P1</x:v>
      </x:c>
      <x:c r="I66" s="41" t="str">
        <x:v>Retest Pass</x:v>
      </x:c>
      <x:c r="J66" s="41" t="str">
        <x:v>ISS-013</x:v>
      </x:c>
      <x:c r="K66" s="41" t="str">
        <x:v>Retest Pass</x:v>
      </x:c>
      <x:c r="L66" s="41" t="str">
        <x:v>Final CLI smoke printed a/b.md, a__b.md, and root.md.</x:v>
      </x:c>
    </x:row>
    <x:row r="67" ht="76" customHeight="1">
      <x:c r="A67" s="41" t="str">
        <x:v>DATA-001</x:v>
      </x:c>
      <x:c r="B67" s="41" t="str">
        <x:v>Sample Vault</x:v>
      </x:c>
      <x:c r="C67" s="41" t="str">
        <x:v>Sample Markdown</x:v>
      </x:c>
      <x:c r="D67" s="41" t="str">
        <x:v>As a tester, I want SampleVault to exercise common Markdown features.</x:v>
      </x:c>
      <x:c r="E67" s="41" t="str">
        <x:v>SampleVault/welcome.md contains heading, paragraphs, lists, tasks, quote, table, code fence, CLI examples, and image syntax.</x:v>
      </x:c>
      <x:c r="F67" s="41" t="str">
        <x:v>SampleVault/welcome.md</x:v>
      </x:c>
      <x:c r="G67" s="41" t="str">
        <x:v>App/preview smoke</x:v>
      </x:c>
      <x:c r="H67" s="41" t="str">
        <x:v>P2</x:v>
      </x:c>
      <x:c r="I67" s="41" t="str">
        <x:v>Pass</x:v>
      </x:c>
      <x:c r="J67" s="41" t="str"/>
      <x:c r="K67" s="41" t="str">
        <x:v>Retest Pass</x:v>
      </x:c>
      <x:c r="L67" s="41" t="str">
        <x:v>SampleVault rendered in final app screenshot and code/file audit</x:v>
      </x:c>
    </x:row>
    <x:row r="68" ht="76" customHeight="1">
      <x:c r="A68" s="41" t="str">
        <x:v>DATA-002</x:v>
      </x:c>
      <x:c r="B68" s="41" t="str">
        <x:v>Sample Vault</x:v>
      </x:c>
      <x:c r="C68" s="41" t="str">
        <x:v>Sample image path</x:v>
      </x:c>
      <x:c r="D68" s="41" t="str">
        <x:v>As a tester, I want the sample image link to resolve.</x:v>
      </x:c>
      <x:c r="E68" s="41" t="str">
        <x:v>SampleVault/welcome.md references assets/welcome/graft-sample.ppm, and that file exists.</x:v>
      </x:c>
      <x:c r="F68" s="41" t="str">
        <x:v>SampleVault/welcome.md; SampleVault/assets/welcome/graft-sample.ppm</x:v>
      </x:c>
      <x:c r="G68" s="41" t="str">
        <x:v>Filesystem/app preview</x:v>
      </x:c>
      <x:c r="H68" s="41" t="str">
        <x:v>P2</x:v>
      </x:c>
      <x:c r="I68" s="41" t="str">
        <x:v>Pass</x:v>
      </x:c>
      <x:c r="J68" s="41" t="str"/>
      <x:c r="K68" s="41" t="str">
        <x:v>Retest Pass</x:v>
      </x:c>
      <x:c r="L68" s="41" t="str">
        <x:v>Filesystem check: SampleVault/assets/welcome/graft-sample.ppm exists</x:v>
      </x:c>
    </x:row>
    <x:row r="69" ht="76" customHeight="1">
      <x:c r="A69" s="41" t="str">
        <x:v>DOC-001</x:v>
      </x:c>
      <x:c r="B69" s="41" t="str">
        <x:v>Docs</x:v>
      </x:c>
      <x:c r="C69" s="41" t="str">
        <x:v>README feature list</x:v>
      </x:c>
      <x:c r="D69" s="41" t="str">
        <x:v>As a developer, I want README features to match current code.</x:v>
      </x:c>
      <x:c r="E69" s="41" t="str">
        <x:v>README describes the SwiftUI app, edit/preview/split, local history, image import, invites, inspector agent activity, CLI, and build/run integration.</x:v>
      </x:c>
      <x:c r="F69" s="41" t="str">
        <x:v>README.md</x:v>
      </x:c>
      <x:c r="G69" s="41" t="str">
        <x:v>Code/doc audit</x:v>
      </x:c>
      <x:c r="H69" s="41" t="str">
        <x:v>P2</x:v>
      </x:c>
      <x:c r="I69" s="41" t="str">
        <x:v>Pass</x:v>
      </x:c>
      <x:c r="J69" s="41" t="str"/>
      <x:c r="K69" s="41" t="str">
        <x:v>Retest Pass</x:v>
      </x:c>
      <x:c r="L69" s="41" t="str">
        <x:v>README audited against current app/CLI scope</x:v>
      </x:c>
    </x:row>
    <x:row r="70" ht="76" customHeight="1">
      <x:c r="A70" s="41" t="str">
        <x:v>DOC-002</x:v>
      </x:c>
      <x:c r="B70" s="41" t="str">
        <x:v>Docs</x:v>
      </x:c>
      <x:c r="C70" s="41" t="str">
        <x:v>Agent sync skill</x:v>
      </x:c>
      <x:c r="D70" s="41" t="str">
        <x:v>As an agent, I want the repo-local sync skill to describe the safe Markdown edit loop.</x:v>
      </x:c>
      <x:c r="E70" s="41" t="str">
        <x:v>skills/graft-sync/SKILL.md instructs status, snapshot, direct Markdown edits, apply, and stopping on conflicts.</x:v>
      </x:c>
      <x:c r="F70" s="41" t="str">
        <x:v>skills/graft-sync/SKILL.md</x:v>
      </x:c>
      <x:c r="G70" s="41" t="str">
        <x:v>Code/doc audit</x:v>
      </x:c>
      <x:c r="H70" s="41" t="str">
        <x:v>P2</x:v>
      </x:c>
      <x:c r="I70" s="41" t="str">
        <x:v>Pass</x:v>
      </x:c>
      <x:c r="J70" s="41" t="str"/>
      <x:c r="K70" s="41" t="str">
        <x:v>Retest Pass</x:v>
      </x:c>
      <x:c r="L70" s="41" t="str">
        <x:v>skills/graft-sync/SKILL.md audited against CLI workflow</x:v>
      </x:c>
    </x:row>
  </x:sheetData>
  <x:dataValidations count="3">
    <x:dataValidation type="list" sqref="H2:H70">
      <x:formula1>"P0,P1,P2,P3"</x:formula1>
    </x:dataValidation>
    <x:dataValidation type="list" sqref="I2:I70">
      <x:formula1>"Untested,Pass,Fail,Blocked,Needs Fix,Retest Pass,Retest Fail,N/A"</x:formula1>
    </x:dataValidation>
    <x:dataValidation type="list" sqref="K2:K70">
      <x:formula1>"Not Retested,Retest Pass,Retest Fail,N/A"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e1dbe555f154db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34" hidden="0" customWidth="1"/>
    <x:col min="4" max="4" width="60" hidden="0" customWidth="1"/>
    <x:col min="5" max="5" width="10" hidden="0" customWidth="1"/>
    <x:col min="6" max="6" width="14" hidden="0" customWidth="1"/>
    <x:col min="7" max="7" width="20" hidden="0" customWidth="1"/>
    <x:col min="8" max="8" width="24" hidden="0" customWidth="1"/>
    <x:col min="9" max="9" width="44" hidden="0" customWidth="1"/>
    <x:col min="10" max="10" width="40" hidden="0" customWidth="1"/>
  </x:cols>
  <x:sheetData>
    <x:row r="1" ht="34" customHeight="1">
      <x:c r="A1" s="40" t="str">
        <x:v>Issue ID</x:v>
      </x:c>
      <x:c r="B1" s="40" t="str">
        <x:v>Surface</x:v>
      </x:c>
      <x:c r="C1" s="40" t="str">
        <x:v>Title</x:v>
      </x:c>
      <x:c r="D1" s="40" t="str">
        <x:v>Observed / Risk</x:v>
      </x:c>
      <x:c r="E1" s="40" t="str">
        <x:v>Priority</x:v>
      </x:c>
      <x:c r="F1" s="40" t="str">
        <x:v>Status</x:v>
      </x:c>
      <x:c r="G1" s="40" t="str">
        <x:v>Found In</x:v>
      </x:c>
      <x:c r="H1" s="40" t="str">
        <x:v>Related Stories</x:v>
      </x:c>
      <x:c r="I1" s="40" t="str">
        <x:v>Likely Files</x:v>
      </x:c>
      <x:c r="J1" s="40" t="str">
        <x:v>Fix Notes</x:v>
      </x:c>
    </x:row>
    <x:row r="2" ht="84" customHeight="1">
      <x:c r="A2" s="41" t="str">
        <x:v>ISS-004</x:v>
      </x:c>
      <x:c r="B2" s="41" t="str">
        <x:v>macOS App</x:v>
      </x:c>
      <x:c r="C2" s="41" t="str">
        <x:v>Ordered-list preview hardcodes every item as 1.</x:v>
      </x:c>
      <x:c r="D2" s="41" t="str">
        <x:v>MarkdownPreviewView renders orderedItem with Text("1.") regardless of the Markdown source number.</x:v>
      </x:c>
      <x:c r="E2" s="41" t="str">
        <x:v>P2</x:v>
      </x:c>
      <x:c r="F2" s="41" t="str">
        <x:v>Retest Pass</x:v>
      </x:c>
      <x:c r="G2" s="41" t="str">
        <x:v>Pre-test code audit</x:v>
      </x:c>
      <x:c r="H2" s="41" t="str">
        <x:v>APP-019</x:v>
      </x:c>
      <x:c r="I2" s="41" t="str">
        <x:v>Sources/Graft/Views/MarkdownPreviewView.swift; Sources/Graft/Services/MarkdownRenderer.swift</x:v>
      </x:c>
      <x:c r="J2" s="41" t="str">
        <x:v>Tests/run_regression_checks.sh</x:v>
      </x:c>
    </x:row>
    <x:row r="3" ht="84" customHeight="1">
      <x:c r="A3" s="41" t="str">
        <x:v>ISS-005</x:v>
      </x:c>
      <x:c r="B3" s="41" t="str">
        <x:v>macOS App</x:v>
      </x:c>
      <x:c r="C3" s="41" t="str">
        <x:v>Preview block identity is duplicate or unstable</x:v>
      </x:c>
      <x:c r="D3" s="41" t="str">
        <x:v>MarkdownBlock.id is content-derived for most blocks and UUID-generated for horizontal rules, causing duplicate-ID risk and unstable identity.</x:v>
      </x:c>
      <x:c r="E3" s="41" t="str">
        <x:v>P1</x:v>
      </x:c>
      <x:c r="F3" s="41" t="str">
        <x:v>Retest Pass</x:v>
      </x:c>
      <x:c r="G3" s="41" t="str">
        <x:v>Pre-test code audit</x:v>
      </x:c>
      <x:c r="H3" s="41" t="str">
        <x:v>APP-025; APP-026</x:v>
      </x:c>
      <x:c r="I3" s="41" t="str">
        <x:v>Sources/Graft/Models/MarkdownBlock.swift; Sources/Graft/Views/MarkdownPreviewView.swift</x:v>
      </x:c>
      <x:c r="J3" s="41" t="str">
        <x:v>Tests/run_regression_checks.sh</x:v>
      </x:c>
    </x:row>
    <x:row r="4" ht="84" customHeight="1">
      <x:c r="A4" s="41" t="str">
        <x:v>ISS-006</x:v>
      </x:c>
      <x:c r="B4" s="41" t="str">
        <x:v>macOS App</x:v>
      </x:c>
      <x:c r="C4" s="41" t="str">
        <x:v>Nested-document image import can insert an absolute path</x:v>
      </x:c>
      <x:c r="D4" s="41" t="str">
        <x:v>ImageImportService computes the inserted path by replacing the selected file's parent path. For nested docs, assets live at the workspace root, so the replacement can fail.</x:v>
      </x:c>
      <x:c r="E4" s="41" t="str">
        <x:v>P1</x:v>
      </x:c>
      <x:c r="F4" s="41" t="str">
        <x:v>Retest Pass</x:v>
      </x:c>
      <x:c r="G4" s="41" t="str">
        <x:v>Pre-test code audit</x:v>
      </x:c>
      <x:c r="H4" s="41" t="str">
        <x:v>APP-027</x:v>
      </x:c>
      <x:c r="I4" s="41" t="str">
        <x:v>Sources/Graft/Services/ImageImportService.swift</x:v>
      </x:c>
      <x:c r="J4" s="41" t="str">
        <x:v>Tests/run_regression_checks.sh</x:v>
      </x:c>
    </x:row>
    <x:row r="5" ht="84" customHeight="1">
      <x:c r="A5" s="41" t="str">
        <x:v>ISS-007</x:v>
      </x:c>
      <x:c r="B5" s="41" t="str">
        <x:v>macOS App</x:v>
      </x:c>
      <x:c r="C5" s="41" t="str">
        <x:v>Share panel starts with fake invites and does not load persisted invite manifest</x:v>
      </x:c>
      <x:c r="D5" s="41" t="str">
        <x:v>WorkspaceStore seeds maya@example.com and reviewer@example.com for every workspace and never reads .pagepacket/shares/invites.json on open.</x:v>
      </x:c>
      <x:c r="E5" s="41" t="str">
        <x:v>P2</x:v>
      </x:c>
      <x:c r="F5" s="41" t="str">
        <x:v>Retest Pass</x:v>
      </x:c>
      <x:c r="G5" s="41" t="str">
        <x:v>Pre-test code audit</x:v>
      </x:c>
      <x:c r="H5" s="41" t="str">
        <x:v>APP-043</x:v>
      </x:c>
      <x:c r="I5" s="41" t="str">
        <x:v>Sources/Graft/Stores/WorkspaceStore.swift; Sources/Graft/Views/ShareView.swift</x:v>
      </x:c>
      <x:c r="J5" s="41" t="str">
        <x:v>Tests/run_regression_checks.sh</x:v>
      </x:c>
    </x:row>
    <x:row r="6" ht="84" customHeight="1">
      <x:c r="A6" s="41" t="str">
        <x:v>ISS-008</x:v>
      </x:c>
      <x:c r="B6" s="41" t="str">
        <x:v>macOS App</x:v>
      </x:c>
      <x:c r="C6" s="41" t="str">
        <x:v>Invite input accepts invalid and duplicate emails</x:v>
      </x:c>
      <x:c r="D6" s="41" t="str">
        <x:v>addInvite only rejects empty trimmed text, so invalid strings and duplicate invite records are accepted.</x:v>
      </x:c>
      <x:c r="E6" s="41" t="str">
        <x:v>P2</x:v>
      </x:c>
      <x:c r="F6" s="41" t="str">
        <x:v>Retest Pass</x:v>
      </x:c>
      <x:c r="G6" s="41" t="str">
        <x:v>Pre-test code audit</x:v>
      </x:c>
      <x:c r="H6" s="41" t="str">
        <x:v>APP-044</x:v>
      </x:c>
      <x:c r="I6" s="41" t="str">
        <x:v>Sources/Graft/Stores/WorkspaceStore.swift; Sources/Graft/Views/ShareView.swift</x:v>
      </x:c>
      <x:c r="J6" s="41" t="str">
        <x:v>Tests/run_regression_checks.sh</x:v>
      </x:c>
    </x:row>
    <x:row r="7" ht="84" customHeight="1">
      <x:c r="A7" s="41" t="str">
        <x:v>ISS-009</x:v>
      </x:c>
      <x:c r="B7" s="41" t="str">
        <x:v>macOS App / CLI</x:v>
      </x:c>
      <x:c r="C7" s="41" t="str">
        <x:v>History safeName can collide across different relative paths</x:v>
      </x:c>
      <x:c r="D7" s="41" t="str">
        <x:v>Replacing slash with __ and dot/space with _ maps distinct paths to the same folder, risking mixed snapshots.</x:v>
      </x:c>
      <x:c r="E7" s="41" t="str">
        <x:v>P1</x:v>
      </x:c>
      <x:c r="F7" s="41" t="str">
        <x:v>Retest Pass</x:v>
      </x:c>
      <x:c r="G7" s="41" t="str">
        <x:v>Pre-test code audit</x:v>
      </x:c>
      <x:c r="H7" s="41" t="str">
        <x:v>APP-032; CLI-010</x:v>
      </x:c>
      <x:c r="I7" s="41" t="str">
        <x:v>Sources/Graft/Services/VersionHistoryStore.swift; Sources/GraftCLI/main.swift</x:v>
      </x:c>
      <x:c r="J7" s="41" t="str">
        <x:v>Tests/run_regression_checks.sh plus final CLI smoke</x:v>
      </x:c>
    </x:row>
    <x:row r="8" ht="84" customHeight="1">
      <x:c r="A8" s="41" t="str">
        <x:v>ISS-010</x:v>
      </x:c>
      <x:c r="B8" s="41" t="str">
        <x:v>Tests</x:v>
      </x:c>
      <x:c r="C8" s="41" t="str">
        <x:v>No automated Swift tests present</x:v>
      </x:c>
      <x:c r="D8" s="41" t="str">
        <x:v>Tests/BrandingTests exists but has no files, so app behavior coverage depends on smoke scripts/manual validation.</x:v>
      </x:c>
      <x:c r="E8" s="41" t="str">
        <x:v>P2</x:v>
      </x:c>
      <x:c r="F8" s="41" t="str">
        <x:v>Fixed</x:v>
      </x:c>
      <x:c r="G8" s="41" t="str">
        <x:v>Repo inventory</x:v>
      </x:c>
      <x:c r="H8" s="41" t="str">
        <x:v>APP-001..DOC-002</x:v>
      </x:c>
      <x:c r="I8" s="41" t="str">
        <x:v>Tests</x:v>
      </x:c>
      <x:c r="J8" s="41" t="str">
        <x:v>Added Tests/run_regression_checks.sh because XCTest/Testing modules are unavailable locally</x:v>
      </x:c>
    </x:row>
    <x:row r="9" ht="84" customHeight="1">
      <x:c r="A9" s="41" t="str">
        <x:v>ISS-012</x:v>
      </x:c>
      <x:c r="B9" s="41" t="str">
        <x:v>macOS App</x:v>
      </x:c>
      <x:c r="C9" s="41" t="str">
        <x:v>Dark system appearance made text unreadable on cream canvas</x:v>
      </x:c>
      <x:c r="D9" s="41" t="str">
        <x:v>The app used cream backgrounds while inheriting dark-mode default text, producing white text on light surfaces.</x:v>
      </x:c>
      <x:c r="E9" s="41" t="str">
        <x:v>P1</x:v>
      </x:c>
      <x:c r="F9" s="41" t="str">
        <x:v>Retest Pass</x:v>
      </x:c>
      <x:c r="G9" s="41" t="str">
        <x:v>Window screenshot</x:v>
      </x:c>
      <x:c r="H9" s="41" t="str">
        <x:v>APP-051</x:v>
      </x:c>
      <x:c r="I9" s="41" t="str">
        <x:v>Sources/Graft/App/GraftApp.swift; Sources/Graft/Views/MarkdownEditorView.swift; Sources/Graft/Views/MarkdownPreviewView.swift</x:v>
      </x:c>
      <x:c r="J9" s="41" t="str">
        <x:v>Forced light SwiftUI color scheme and explicit body text color where needed.</x:v>
      </x:c>
    </x:row>
    <x:row r="10" ht="84" customHeight="1">
      <x:c r="A10" s="41" t="str">
        <x:v>ISS-013</x:v>
      </x:c>
      <x:c r="B10" s="41" t="str">
        <x:v>CLI</x:v>
      </x:c>
      <x:c r="C10" s="41" t="str">
        <x:v>Status printed /private-prefixed pseudo-relative paths for /tmp vaults</x:v>
      </x:c>
      <x:c r="D10" s="41" t="str">
        <x:v>The CLI compared unresolved /tmp vault paths against enumerated /private/tmp file paths, so replacement failed.</x:v>
      </x:c>
      <x:c r="E10" s="41" t="str">
        <x:v>P1</x:v>
      </x:c>
      <x:c r="F10" s="41" t="str">
        <x:v>Retest Pass</x:v>
      </x:c>
      <x:c r="G10" s="41" t="str">
        <x:v>CLI smoke</x:v>
      </x:c>
      <x:c r="H10" s="41" t="str">
        <x:v>CLI-002; CLI-011</x:v>
      </x:c>
      <x:c r="I10" s="41" t="str">
        <x:v>Sources/GraftCLI/main.swift</x:v>
      </x:c>
      <x:c r="J10" s="41" t="str">
        <x:v>Normalize URLs before deriving relative paths.</x:v>
      </x:c>
    </x:row>
    <x:row r="11" ht="84" customHeight="1">
      <x:c r="A11" s="41" t="str">
        <x:v>ISS-014</x:v>
      </x:c>
      <x:c r="B11" s="41" t="str">
        <x:v>macOS App</x:v>
      </x:c>
      <x:c r="C11" s="41" t="str">
        <x:v>Restore could write snapshot front matter into the Markdown file</x:v>
      </x:c>
      <x:c r="D11" s="41" t="str">
        <x:v>restoreContent only stripped front matter for one exact delimiter shape and failed on snapshots without the extra blank line.</x:v>
      </x:c>
      <x:c r="E11" s="41" t="str">
        <x:v>P1</x:v>
      </x:c>
      <x:c r="F11" s="41" t="str">
        <x:v>Retest Pass</x:v>
      </x:c>
      <x:c r="G11" s="41" t="str">
        <x:v>Regression runner</x:v>
      </x:c>
      <x:c r="H11" s="41" t="str">
        <x:v>APP-031; APP-052</x:v>
      </x:c>
      <x:c r="I11" s="41" t="str">
        <x:v>Sources/Graft/Services/VersionHistoryStore.swift</x:v>
      </x:c>
      <x:c r="J11" s="41" t="str">
        <x:v>Parse through the closing front-matter delimiter and consume any following newlines.</x:v>
      </x:c>
    </x:row>
    <x:row r="12" ht="84" customHeight="1">
      <x:c r="A12" s="41" t="str">
        <x:v>ISS-015</x:v>
      </x:c>
      <x:c r="B12" s="41" t="str">
        <x:v>macOS App</x:v>
      </x:c>
      <x:c r="C12" s="41" t="str">
        <x:v>Before-save snapshots stored the new editor text instead of the overwritten disk text</x:v>
      </x:c>
      <x:c r="D12" s="41" t="str">
        <x:v>saveCurrentDocument called snapshotCurrentDocument after editorText changed, so rollback to the pre-save file was impossible.</x:v>
      </x:c>
      <x:c r="E12" s="41" t="str">
        <x:v>P1</x:v>
      </x:c>
      <x:c r="F12" s="41" t="str">
        <x:v>Retest Pass</x:v>
      </x:c>
      <x:c r="G12" s="41" t="str">
        <x:v>Regression runner</x:v>
      </x:c>
      <x:c r="H12" s="41" t="str">
        <x:v>APP-010; APP-031; APP-052</x:v>
      </x:c>
      <x:c r="I12" s="41" t="str">
        <x:v>Sources/Graft/Stores/WorkspaceStore.swift</x:v>
      </x:c>
      <x:c r="J12" s="41" t="str">
        <x:v>Snapshot lastLoadedText before writing editorText.</x:v>
      </x:c>
    </x:row>
    <x:row r="13" ht="84" customHeight="1">
      <x:c r="A13" s="41" t="str">
        <x:v>ISS-016</x:v>
      </x:c>
      <x:c r="B13" s="41" t="str">
        <x:v>macOS App</x:v>
      </x:c>
      <x:c r="C13" s="41" t="str">
        <x:v>Editor pane could remain horizontally scrolled on long Markdown lines</x:v>
      </x:c>
      <x:c r="D13" s="41" t="str">
        <x:v>The split editor could show clipped line starts for long Markdown lines, making the editable Markdown hard to scan.</x:v>
      </x:c>
      <x:c r="E13" s="41" t="str">
        <x:v>P1</x:v>
      </x:c>
      <x:c r="F13" s="41" t="str">
        <x:v>Retest Pass</x:v>
      </x:c>
      <x:c r="G13" s="41" t="str">
        <x:v>Window screenshot</x:v>
      </x:c>
      <x:c r="H13" s="41" t="str">
        <x:v>APP-008; APP-053</x:v>
      </x:c>
      <x:c r="I13" s="41" t="str">
        <x:v>Sources/Graft/Views/MarkdownEditorView.swift</x:v>
      </x:c>
      <x:c r="J13" s="41" t="str">
        <x:v>Replaced TextEditor with a wrapping NSTextView bridge that disables horizontal scrolling.</x:v>
      </x:c>
    </x:row>
    <x:row r="14" ht="84" customHeight="1">
      <x:c r="A14" s="41" t="str">
        <x:v>ISS-017</x:v>
      </x:c>
      <x:c r="B14" s="41" t="str">
        <x:v>Build/Run</x:v>
      </x:c>
      <x:c r="C14" s="41" t="str">
        <x:v>Hand-staged .app opened by LaunchServices stays at a zero-sized placeholder window</x:v>
      </x:c>
      <x:c r="D14" s="41" t="str">
        <x:v>The freshly built executable opens a visible Pagepacket window, but /usr/bin/open on dist/Pagepacket.app still produces only zero-sized Pagepacket windows in this environment.</x:v>
      </x:c>
      <x:c r="E14" s="41" t="str">
        <x:v>P1</x:v>
      </x:c>
      <x:c r="F14" s="41" t="str">
        <x:v>Open</x:v>
      </x:c>
      <x:c r="G14" s="41" t="str">
        <x:v>WindowServer check</x:v>
      </x:c>
      <x:c r="H14" s="41" t="str">
        <x:v>APP-001; APP-050</x:v>
      </x:c>
      <x:c r="I14" s="41" t="str">
        <x:v>script/build_and_run.sh; Sources/Graft/App/GraftApp.swift</x:v>
      </x:c>
      <x:c r="J14" s="41" t="str">
        <x:v>Tried disabling restoration, AppKit lifecycle, early window creation, Info.plist restoration keys, and ad-hoc signing; direct executable launch remains the working path.</x:v>
      </x:c>
    </x:row>
    <x:row r="15" ht="84" customHeight="1">
      <x:c r="A15" s="41" t="str">
        <x:v>ISS-018</x:v>
      </x:c>
      <x:c r="B15" s="41" t="str">
        <x:v>macOS App</x:v>
      </x:c>
      <x:c r="C15" s="41" t="str">
        <x:v>Default split/inspector startup could clip content at 1120px</x:v>
      </x:c>
      <x:c r="D15" s="41" t="str">
        <x:v>Launching directly into Split with inspector visible over-constrained the window on the available display, clipping editor and preview content.</x:v>
      </x:c>
      <x:c r="E15" s="41" t="str">
        <x:v>P1</x:v>
      </x:c>
      <x:c r="F15" s="41" t="str">
        <x:v>Retest Pass</x:v>
      </x:c>
      <x:c r="G15" s="41" t="str">
        <x:v>Window screenshot</x:v>
      </x:c>
      <x:c r="H15" s="41" t="str">
        <x:v>APP-054</x:v>
      </x:c>
      <x:c r="I15" s="41" t="str">
        <x:v>Sources/Graft/Stores/WorkspaceStore.swift</x:v>
      </x:c>
      <x:c r="J15" s="41" t="str">
        <x:v>Start in Edit mode with inspector hidden; Split and Inspector remain explicit controls.</x:v>
      </x:c>
    </x:row>
  </x:sheetData>
  <x:dataValidations count="2">
    <x:dataValidation type="list" sqref="E2:E15">
      <x:formula1>"P0,P1,P2,P3"</x:formula1>
    </x:dataValidation>
    <x:dataValidation type="list" sqref="F2:F15">
      <x:formula1>"Open,Fixed,Won't Fix,Blocked,Retest Pass,Retest Fail"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d7a33a68f9a400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0" hidden="0" customWidth="1"/>
    <x:col min="3" max="3" width="34" hidden="0" customWidth="1"/>
    <x:col min="4" max="4" width="14" hidden="0" customWidth="1"/>
    <x:col min="5" max="5" width="64" hidden="0" customWidth="1"/>
    <x:col min="6" max="6" width="50" hidden="0" customWidth="1"/>
  </x:cols>
  <x:sheetData>
    <x:row r="1">
      <x:c r="A1" s="40" t="str">
        <x:v>Date</x:v>
      </x:c>
      <x:c r="B1" s="40" t="str">
        <x:v>Phase</x:v>
      </x:c>
      <x:c r="C1" s="40" t="str">
        <x:v>Check</x:v>
      </x:c>
      <x:c r="D1" s="40" t="str">
        <x:v>Result</x:v>
      </x:c>
      <x:c r="E1" s="40" t="str">
        <x:v>Notes</x:v>
      </x:c>
      <x:c r="F1" s="40" t="str">
        <x:v>Evidence</x:v>
      </x:c>
    </x:row>
    <x:row r="2" ht="64" customHeight="1">
      <x:c r="A2" s="41" t="str">
        <x:v>2026-07-01</x:v>
      </x:c>
      <x:c r="B2" s="41" t="str">
        <x:v>Inventory</x:v>
      </x:c>
      <x:c r="C2" s="41" t="str">
        <x:v>Repo/file inventory</x:v>
      </x:c>
      <x:c r="D2" s="41" t="str">
        <x:v>Pass</x:v>
      </x:c>
      <x:c r="E2" s="41" t="str">
        <x:v>SwiftPM macOS app, CLI, sample vault, repo-local agent skill. Landing page excluded per updated objective.</x:v>
      </x:c>
      <x:c r="F2" s="41" t="str">
        <x:v>git status; rg --files; source reads</x:v>
      </x:c>
    </x:row>
    <x:row r="3" ht="64" customHeight="1">
      <x:c r="A3" s="41" t="str">
        <x:v>2026-07-01</x:v>
      </x:c>
      <x:c r="B3" s="41" t="str">
        <x:v>Tracker Seed</x:v>
      </x:c>
      <x:c r="C3" s="41" t="str">
        <x:v>Canonical spreadsheet created</x:v>
      </x:c>
      <x:c r="D3" s="41" t="str">
        <x:v>Pass</x:v>
      </x:c>
      <x:c r="E3" s="41" t="str">
        <x:v>Initial user stories and issue ledger created from code.</x:v>
      </x:c>
      <x:c r="F3" s="41" t="str">
        <x:v>build_feature_tracker.mjs</x:v>
      </x:c>
    </x:row>
    <x:row r="4" ht="64" customHeight="1">
      <x:c r="A4" s="41" t="str">
        <x:v>2026-07-01</x:v>
      </x:c>
      <x:c r="B4" s="41" t="str">
        <x:v>Red</x:v>
      </x:c>
      <x:c r="C4" s="41" t="str">
        <x:v>Regression runner before fixes</x:v>
      </x:c>
      <x:c r="D4" s="41" t="str">
        <x:v>Fail</x:v>
      </x:c>
      <x:c r="E4" s="41" t="str">
        <x:v>Failed on missing renderer kind/ordered-number API and invite validation result.</x:v>
      </x:c>
      <x:c r="F4" s="41" t="str">
        <x:v>Tests/run_regression_checks.sh</x:v>
      </x:c>
    </x:row>
    <x:row r="5" ht="64" customHeight="1">
      <x:c r="A5" s="41" t="str">
        <x:v>2026-07-01</x:v>
      </x:c>
      <x:c r="B5" s="41" t="str">
        <x:v>Fix</x:v>
      </x:c>
      <x:c r="C5" s="41" t="str">
        <x:v>Regression runner after fixes</x:v>
      </x:c>
      <x:c r="D5" s="41" t="str">
        <x:v>Pass</x:v>
      </x:c>
      <x:c r="E5" s="41" t="str">
        <x:v>Renderer IDs/order, nested image paths, history path isolation, workspace save/snapshot/restore, invite persistence/validation all passed.</x:v>
      </x:c>
      <x:c r="F5" s="41" t="str">
        <x:v>Tests/run_regression_checks.sh</x:v>
      </x:c>
    </x:row>
    <x:row r="6" ht="64" customHeight="1">
      <x:c r="A6" s="41" t="str">
        <x:v>2026-07-01</x:v>
      </x:c>
      <x:c r="B6" s="41" t="str">
        <x:v>Verify</x:v>
      </x:c>
      <x:c r="C6" s="41" t="str">
        <x:v>Isolated Swift build</x:v>
      </x:c>
      <x:c r="D6" s="41" t="str">
        <x:v>Pass</x:v>
      </x:c>
      <x:c r="E6" s="41" t="str">
        <x:v>Swift build completed successfully.</x:v>
      </x:c>
      <x:c r="F6" s="41" t="str">
        <x:v>swift build --jobs 1 --build-path /tmp/pagepacket-final-build</x:v>
      </x:c>
    </x:row>
    <x:row r="7" ht="64" customHeight="1">
      <x:c r="A7" s="41" t="str">
        <x:v>2026-07-01</x:v>
      </x:c>
      <x:c r="B7" s="41" t="str">
        <x:v>Verify</x:v>
      </x:c>
      <x:c r="C7" s="41" t="str">
        <x:v>CLI smoke</x:v>
      </x:c>
      <x:c r="D7" s="41" t="str">
        <x:v>Pass</x:v>
      </x:c>
      <x:c r="E7" s="41" t="str">
        <x:v>Status output uses clean relative paths; snapshots/history work; colliding names use separate folders.</x:v>
      </x:c>
      <x:c r="F7" s="41" t="str">
        <x:v>/tmp/pagepacket-final-build/debug/pagepacket-cli</x:v>
      </x:c>
    </x:row>
    <x:row r="8" ht="64" customHeight="1">
      <x:c r="A8" s="41" t="str">
        <x:v>2026-07-01</x:v>
      </x:c>
      <x:c r="B8" s="41" t="str">
        <x:v>Verify</x:v>
      </x:c>
      <x:c r="C8" s="41" t="str">
        <x:v>App launch/window</x:v>
      </x:c>
      <x:c r="D8" s="41" t="str">
        <x:v>Pass</x:v>
      </x:c>
      <x:c r="E8" s="41" t="str">
        <x:v>Project script launched Pagepacket and CoreGraphics reported an onscreen 1120x772 Pagepacket window.</x:v>
      </x:c>
      <x:c r="F8" s="41" t="str">
        <x:v>./script/build_and_run.sh --verify; /tmp/pagepacket-window-list</x:v>
      </x:c>
    </x:row>
    <x:row r="9" ht="64" customHeight="1">
      <x:c r="A9" s="41" t="str">
        <x:v>2026-07-01</x:v>
      </x:c>
      <x:c r="B9" s="41" t="str">
        <x:v>Verify</x:v>
      </x:c>
      <x:c r="C9" s="41" t="str">
        <x:v>Whitespace</x:v>
      </x:c>
      <x:c r="D9" s="41" t="str">
        <x:v>Pass</x:v>
      </x:c>
      <x:c r="E9" s="41" t="str">
        <x:v>No whitespace errors.</x:v>
      </x:c>
      <x:c r="F9" s="41" t="str">
        <x:v>git diff --check</x:v>
      </x:c>
    </x:row>
  </x:sheetData>
  <x:pageMargins left="0.7" right="0.7" top="0.75" bottom="0.75" header="0.3" footer="0.3"/>
  <x:tableParts count="1">
    <x:tablePart xmlns:r="http://schemas.openxmlformats.org/officeDocument/2006/relationships" r:id="R6551038a40e84984"/>
  </x:tableParts>
</x:worksheet>
</file>